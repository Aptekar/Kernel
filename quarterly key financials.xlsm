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zya\Documents\GitHub\Kernel\"/>
    </mc:Choice>
  </mc:AlternateContent>
  <bookViews>
    <workbookView xWindow="0" yWindow="0" windowWidth="21984" windowHeight="14640" tabRatio="808" firstSheet="7" activeTab="14"/>
  </bookViews>
  <sheets>
    <sheet name="Balance sheet" sheetId="5" r:id="rId1"/>
    <sheet name="P&amp;L" sheetId="4" r:id="rId2"/>
    <sheet name="Farming" sheetId="9" r:id="rId3"/>
    <sheet name="UA farming" sheetId="6" r:id="rId4"/>
    <sheet name="key" sheetId="1" r:id="rId5"/>
    <sheet name="cor" sheetId="8" r:id="rId6"/>
    <sheet name="EBITDA (baseline)" sheetId="11" state="hidden" r:id="rId7"/>
    <sheet name="EBITDA_good" sheetId="10" r:id="rId8"/>
    <sheet name="CF_good" sheetId="13" r:id="rId9"/>
    <sheet name="BS_good" sheetId="15" r:id="rId10"/>
    <sheet name="EBITDA_good_ex" sheetId="29" r:id="rId11"/>
    <sheet name="CF_good_ex" sheetId="30" r:id="rId12"/>
    <sheet name="BS_good_ex" sheetId="31" r:id="rId13"/>
    <sheet name="bio &amp; inventory" sheetId="24" r:id="rId14"/>
    <sheet name="forecast" sheetId="25" r:id="rId15"/>
    <sheet name="EBITDA_bad" sheetId="26" r:id="rId16"/>
    <sheet name="CF_bad" sheetId="27" r:id="rId17"/>
    <sheet name="BS_bad" sheetId="28" r:id="rId18"/>
    <sheet name="EBITDA_bad_ex" sheetId="32" r:id="rId19"/>
    <sheet name="CF_bad_ex" sheetId="33" r:id="rId20"/>
    <sheet name="BS_bad_ex" sheetId="34" r:id="rId21"/>
    <sheet name="macro" sheetId="12" state="hidden" r:id="rId22"/>
  </sheets>
  <functionGroups builtInGroupCount="18"/>
  <externalReferences>
    <externalReference r:id="rId23"/>
  </externalReferences>
  <definedNames>
    <definedName name="_xlnm._FilterDatabase" localSheetId="6" hidden="1">'EBITDA (baseline)'!$A$1:$Y$55</definedName>
    <definedName name="_xlnm._FilterDatabase" localSheetId="15" hidden="1">EBITDA_bad!$A$1:$Y$55</definedName>
    <definedName name="_xlnm._FilterDatabase" localSheetId="18" hidden="1">EBITDA_bad_ex!$A$1:$Y$55</definedName>
    <definedName name="_xlnm._FilterDatabase" localSheetId="7" hidden="1">EBITDA_good!$A$1:$Y$55</definedName>
    <definedName name="_xlnm._FilterDatabase" localSheetId="10" hidden="1">EBITDA_good_ex!$A$1:$Y$55</definedName>
    <definedName name="_Hlk288821911" localSheetId="3">'UA farming'!$Z$140</definedName>
  </definedNames>
  <calcPr calcId="152511"/>
</workbook>
</file>

<file path=xl/calcChain.xml><?xml version="1.0" encoding="utf-8"?>
<calcChain xmlns="http://schemas.openxmlformats.org/spreadsheetml/2006/main">
  <c r="E86" i="25" l="1"/>
  <c r="D86" i="25"/>
  <c r="C86" i="25"/>
  <c r="B86" i="25"/>
  <c r="E85" i="25"/>
  <c r="E84" i="25"/>
  <c r="E83" i="25"/>
  <c r="E82" i="25"/>
  <c r="E81" i="25"/>
  <c r="D85" i="25"/>
  <c r="D84" i="25"/>
  <c r="D83" i="25"/>
  <c r="D82" i="25"/>
  <c r="D81" i="25"/>
  <c r="B83" i="25"/>
  <c r="B82" i="25"/>
  <c r="B81" i="25"/>
  <c r="V38" i="26"/>
  <c r="W38" i="26"/>
  <c r="X38" i="26"/>
  <c r="Y38" i="26"/>
  <c r="AC43" i="29"/>
  <c r="O7" i="9" l="1"/>
  <c r="O6" i="9"/>
  <c r="O5" i="9"/>
  <c r="O27" i="9"/>
  <c r="O4" i="9"/>
  <c r="O3" i="9"/>
  <c r="O2" i="9"/>
  <c r="D46" i="25"/>
  <c r="C46" i="25"/>
  <c r="B46" i="25"/>
  <c r="D32" i="25"/>
  <c r="C32" i="25"/>
  <c r="B32" i="25"/>
  <c r="D19" i="25"/>
  <c r="C19" i="25"/>
  <c r="B19" i="25"/>
  <c r="D5" i="25"/>
  <c r="D55" i="25" s="1"/>
  <c r="C5" i="25"/>
  <c r="B5" i="25"/>
  <c r="B55" i="25" s="1"/>
  <c r="Z49" i="32"/>
  <c r="Z49" i="26"/>
  <c r="AC38" i="32"/>
  <c r="AB38" i="32"/>
  <c r="AA38" i="32"/>
  <c r="Z38" i="32"/>
  <c r="AC38" i="26"/>
  <c r="AB38" i="26"/>
  <c r="AB37" i="26" s="1"/>
  <c r="AB40" i="26" s="1"/>
  <c r="AA38" i="26"/>
  <c r="AA37" i="26" s="1"/>
  <c r="AA40" i="26" s="1"/>
  <c r="Z38" i="26"/>
  <c r="D50" i="25"/>
  <c r="C50" i="25"/>
  <c r="B50" i="25"/>
  <c r="D49" i="25"/>
  <c r="C49" i="25"/>
  <c r="B49" i="25"/>
  <c r="D48" i="25"/>
  <c r="C48" i="25"/>
  <c r="B48" i="25"/>
  <c r="D47" i="25"/>
  <c r="C47" i="25"/>
  <c r="B47" i="25"/>
  <c r="C52" i="25"/>
  <c r="D44" i="25"/>
  <c r="C44" i="25"/>
  <c r="B44" i="25"/>
  <c r="D43" i="25"/>
  <c r="C43" i="25"/>
  <c r="B43" i="25"/>
  <c r="C45" i="25"/>
  <c r="B45" i="25"/>
  <c r="T48" i="34"/>
  <c r="U48" i="34"/>
  <c r="V48" i="34"/>
  <c r="W48" i="34"/>
  <c r="X48" i="34"/>
  <c r="Y48" i="34"/>
  <c r="Z48" i="34"/>
  <c r="AA48" i="34"/>
  <c r="AB48" i="34"/>
  <c r="AC48" i="34"/>
  <c r="U45" i="34"/>
  <c r="V45" i="34"/>
  <c r="W45" i="34"/>
  <c r="X45" i="34"/>
  <c r="Y45" i="34"/>
  <c r="Z45" i="34"/>
  <c r="AA45" i="34"/>
  <c r="AB45" i="34"/>
  <c r="AC45" i="34"/>
  <c r="T45" i="34"/>
  <c r="T44" i="34"/>
  <c r="U44" i="34"/>
  <c r="V44" i="34"/>
  <c r="W44" i="34"/>
  <c r="X44" i="34"/>
  <c r="Y44" i="34"/>
  <c r="Z44" i="34"/>
  <c r="AA44" i="34"/>
  <c r="AB44" i="34"/>
  <c r="AC44" i="34"/>
  <c r="U43" i="34"/>
  <c r="V43" i="34"/>
  <c r="W43" i="34"/>
  <c r="X43" i="34"/>
  <c r="Y43" i="34"/>
  <c r="Z43" i="34"/>
  <c r="AA43" i="34"/>
  <c r="AB43" i="34"/>
  <c r="AC43" i="34"/>
  <c r="T43" i="34"/>
  <c r="T42" i="34"/>
  <c r="U42" i="34"/>
  <c r="V42" i="34"/>
  <c r="W42" i="34"/>
  <c r="X42" i="34"/>
  <c r="Y42" i="34"/>
  <c r="Z42" i="34"/>
  <c r="AA42" i="34"/>
  <c r="AB42" i="34"/>
  <c r="AC42" i="34"/>
  <c r="U41" i="34"/>
  <c r="V41" i="34"/>
  <c r="W41" i="34"/>
  <c r="X41" i="34"/>
  <c r="Y41" i="34"/>
  <c r="Z41" i="34"/>
  <c r="AA41" i="34"/>
  <c r="AB41" i="34"/>
  <c r="AC41" i="34"/>
  <c r="T41" i="34"/>
  <c r="T40" i="34"/>
  <c r="U40" i="34"/>
  <c r="T37" i="34"/>
  <c r="U36" i="34"/>
  <c r="T36" i="34"/>
  <c r="T35" i="34"/>
  <c r="U35" i="34"/>
  <c r="V35" i="34"/>
  <c r="W35" i="34"/>
  <c r="X35" i="34"/>
  <c r="Y35" i="34"/>
  <c r="Z35" i="34"/>
  <c r="AA35" i="34"/>
  <c r="AB35" i="34"/>
  <c r="AC35" i="34"/>
  <c r="U34" i="34"/>
  <c r="T34" i="34"/>
  <c r="T38" i="34"/>
  <c r="Y29" i="34"/>
  <c r="T28" i="34"/>
  <c r="T27" i="34"/>
  <c r="T22" i="34"/>
  <c r="T21" i="34"/>
  <c r="T20" i="34"/>
  <c r="T19" i="34"/>
  <c r="T17" i="34"/>
  <c r="U17" i="34"/>
  <c r="V17" i="34"/>
  <c r="W17" i="34"/>
  <c r="X17" i="34"/>
  <c r="Y17" i="34"/>
  <c r="Z17" i="34"/>
  <c r="AA17" i="34"/>
  <c r="AB17" i="34"/>
  <c r="AC17" i="34"/>
  <c r="T16" i="34"/>
  <c r="U16" i="34"/>
  <c r="V16" i="34"/>
  <c r="W16" i="34"/>
  <c r="X16" i="34"/>
  <c r="Y16" i="34"/>
  <c r="Z16" i="34"/>
  <c r="AA16" i="34"/>
  <c r="AB16" i="34"/>
  <c r="AC16" i="34"/>
  <c r="V12" i="34"/>
  <c r="W12" i="34"/>
  <c r="T12" i="34"/>
  <c r="U12" i="34"/>
  <c r="U8" i="34"/>
  <c r="T8" i="34"/>
  <c r="T7" i="34"/>
  <c r="T6" i="34"/>
  <c r="U6" i="34"/>
  <c r="T5" i="34"/>
  <c r="S58" i="33"/>
  <c r="R58" i="33"/>
  <c r="Q58" i="33"/>
  <c r="P58" i="33"/>
  <c r="O58" i="33"/>
  <c r="N58" i="33"/>
  <c r="Q59" i="33"/>
  <c r="M58" i="33"/>
  <c r="L58" i="33"/>
  <c r="K58" i="33"/>
  <c r="J58" i="33"/>
  <c r="I58" i="33"/>
  <c r="H58" i="33"/>
  <c r="G58" i="33"/>
  <c r="F58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U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2" i="33"/>
  <c r="T51" i="33"/>
  <c r="S51" i="33"/>
  <c r="Q51" i="33"/>
  <c r="O51" i="33"/>
  <c r="M51" i="33"/>
  <c r="K51" i="33"/>
  <c r="I51" i="33"/>
  <c r="G51" i="33"/>
  <c r="F51" i="33"/>
  <c r="U45" i="33"/>
  <c r="Y45" i="33"/>
  <c r="AC45" i="33"/>
  <c r="AC42" i="33"/>
  <c r="AC48" i="33"/>
  <c r="AB42" i="33"/>
  <c r="AB48" i="33"/>
  <c r="AA42" i="33"/>
  <c r="AA48" i="33"/>
  <c r="Z42" i="33"/>
  <c r="Z48" i="33"/>
  <c r="Y42" i="33"/>
  <c r="Y48" i="33"/>
  <c r="X42" i="33"/>
  <c r="X48" i="33"/>
  <c r="W42" i="33"/>
  <c r="W48" i="33"/>
  <c r="V42" i="33"/>
  <c r="V48" i="33"/>
  <c r="U42" i="33"/>
  <c r="U48" i="33"/>
  <c r="T42" i="33"/>
  <c r="T48" i="33"/>
  <c r="V36" i="33"/>
  <c r="U36" i="33"/>
  <c r="T36" i="33"/>
  <c r="Y31" i="33"/>
  <c r="X31" i="33"/>
  <c r="W31" i="33"/>
  <c r="V31" i="33"/>
  <c r="V39" i="33"/>
  <c r="U31" i="33"/>
  <c r="U39" i="33"/>
  <c r="T31" i="33"/>
  <c r="T25" i="33"/>
  <c r="T24" i="33"/>
  <c r="U21" i="33"/>
  <c r="T21" i="33"/>
  <c r="T19" i="33"/>
  <c r="T18" i="33"/>
  <c r="U5" i="33"/>
  <c r="U27" i="33"/>
  <c r="T4" i="33"/>
  <c r="Y63" i="32"/>
  <c r="X63" i="32"/>
  <c r="W63" i="32"/>
  <c r="V63" i="32"/>
  <c r="Y69" i="32" s="1"/>
  <c r="U63" i="32"/>
  <c r="T63" i="32"/>
  <c r="S63" i="32"/>
  <c r="R63" i="32"/>
  <c r="T69" i="32" s="1"/>
  <c r="Q63" i="32"/>
  <c r="P63" i="32"/>
  <c r="O63" i="32"/>
  <c r="N63" i="32"/>
  <c r="Q69" i="32" s="1"/>
  <c r="M63" i="32"/>
  <c r="L63" i="32"/>
  <c r="K63" i="32"/>
  <c r="J63" i="32"/>
  <c r="J69" i="32" s="1"/>
  <c r="I63" i="32"/>
  <c r="H63" i="32"/>
  <c r="G63" i="32"/>
  <c r="F63" i="32"/>
  <c r="I69" i="32" s="1"/>
  <c r="E63" i="32"/>
  <c r="D63" i="32"/>
  <c r="C63" i="32"/>
  <c r="B63" i="32"/>
  <c r="Y62" i="32"/>
  <c r="Z62" i="32" s="1"/>
  <c r="AA62" i="32" s="1"/>
  <c r="AB62" i="32" s="1"/>
  <c r="AC62" i="32" s="1"/>
  <c r="X62" i="32"/>
  <c r="W62" i="32"/>
  <c r="V62" i="32"/>
  <c r="U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C62" i="32"/>
  <c r="B62" i="32"/>
  <c r="Y61" i="32"/>
  <c r="Z61" i="32" s="1"/>
  <c r="AA61" i="32" s="1"/>
  <c r="AB61" i="32" s="1"/>
  <c r="AC61" i="32" s="1"/>
  <c r="X61" i="32"/>
  <c r="W61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C61" i="32"/>
  <c r="B61" i="32"/>
  <c r="S57" i="32"/>
  <c r="S54" i="33"/>
  <c r="R57" i="32"/>
  <c r="R54" i="33"/>
  <c r="P57" i="32"/>
  <c r="P54" i="33"/>
  <c r="O57" i="32"/>
  <c r="O54" i="33"/>
  <c r="N57" i="32"/>
  <c r="N54" i="33"/>
  <c r="L57" i="32"/>
  <c r="L54" i="33"/>
  <c r="K57" i="32"/>
  <c r="K54" i="33"/>
  <c r="J57" i="32"/>
  <c r="H57" i="32"/>
  <c r="H54" i="33"/>
  <c r="G57" i="32"/>
  <c r="G54" i="33"/>
  <c r="F57" i="32"/>
  <c r="F54" i="33"/>
  <c r="D57" i="32"/>
  <c r="D54" i="33"/>
  <c r="C57" i="32"/>
  <c r="B57" i="32"/>
  <c r="T55" i="32"/>
  <c r="U55" i="32"/>
  <c r="V55" i="32"/>
  <c r="W55" i="32"/>
  <c r="X55" i="32"/>
  <c r="Y55" i="32"/>
  <c r="Z55" i="32"/>
  <c r="AA55" i="32"/>
  <c r="AB55" i="32"/>
  <c r="AC55" i="32"/>
  <c r="Q55" i="32"/>
  <c r="M55" i="32"/>
  <c r="I55" i="32"/>
  <c r="E55" i="32"/>
  <c r="AC53" i="32"/>
  <c r="Y53" i="32"/>
  <c r="U53" i="32"/>
  <c r="Q53" i="32"/>
  <c r="M53" i="32"/>
  <c r="I53" i="32"/>
  <c r="E53" i="32"/>
  <c r="AC52" i="32"/>
  <c r="Y52" i="32"/>
  <c r="U52" i="32"/>
  <c r="Q52" i="32"/>
  <c r="M52" i="32"/>
  <c r="I52" i="32"/>
  <c r="E52" i="32"/>
  <c r="S50" i="32"/>
  <c r="R50" i="32"/>
  <c r="P50" i="32"/>
  <c r="O50" i="32"/>
  <c r="N50" i="32"/>
  <c r="L50" i="32"/>
  <c r="K50" i="32"/>
  <c r="J50" i="32"/>
  <c r="H50" i="32"/>
  <c r="G50" i="32"/>
  <c r="F50" i="32"/>
  <c r="D50" i="32"/>
  <c r="C50" i="32"/>
  <c r="B50" i="32"/>
  <c r="T49" i="32"/>
  <c r="U49" i="32"/>
  <c r="V49" i="32"/>
  <c r="W49" i="32"/>
  <c r="X49" i="32"/>
  <c r="Y49" i="32"/>
  <c r="AA49" i="32"/>
  <c r="AB49" i="32"/>
  <c r="AC49" i="32"/>
  <c r="S49" i="32"/>
  <c r="R49" i="32"/>
  <c r="P49" i="32"/>
  <c r="O49" i="32"/>
  <c r="N49" i="32"/>
  <c r="L49" i="32"/>
  <c r="K49" i="32"/>
  <c r="J49" i="32"/>
  <c r="H49" i="32"/>
  <c r="G49" i="32"/>
  <c r="F49" i="32"/>
  <c r="D49" i="32"/>
  <c r="C49" i="32"/>
  <c r="B49" i="32"/>
  <c r="Q48" i="32"/>
  <c r="Q50" i="32"/>
  <c r="M48" i="32"/>
  <c r="M50" i="32"/>
  <c r="I48" i="32"/>
  <c r="I50" i="32"/>
  <c r="E48" i="32"/>
  <c r="E50" i="32"/>
  <c r="M47" i="32"/>
  <c r="I47" i="32"/>
  <c r="Q46" i="32"/>
  <c r="M46" i="32"/>
  <c r="I46" i="32"/>
  <c r="E46" i="32"/>
  <c r="E47" i="32"/>
  <c r="Q45" i="32"/>
  <c r="M45" i="32"/>
  <c r="I45" i="32"/>
  <c r="E45" i="32"/>
  <c r="U44" i="32"/>
  <c r="U69" i="32"/>
  <c r="Y43" i="32"/>
  <c r="U43" i="32"/>
  <c r="S41" i="32"/>
  <c r="O41" i="32"/>
  <c r="K41" i="32"/>
  <c r="G41" i="32"/>
  <c r="C41" i="32"/>
  <c r="S40" i="32"/>
  <c r="R40" i="32"/>
  <c r="P40" i="32"/>
  <c r="O40" i="32"/>
  <c r="N40" i="32"/>
  <c r="L40" i="32"/>
  <c r="K40" i="32"/>
  <c r="J40" i="32"/>
  <c r="H40" i="32"/>
  <c r="G40" i="32"/>
  <c r="F40" i="32"/>
  <c r="E40" i="32"/>
  <c r="D40" i="32"/>
  <c r="C40" i="32"/>
  <c r="B40" i="32"/>
  <c r="AA39" i="32"/>
  <c r="W39" i="32"/>
  <c r="W41" i="32"/>
  <c r="V39" i="32"/>
  <c r="T39" i="32"/>
  <c r="T41" i="32"/>
  <c r="Q39" i="32"/>
  <c r="M39" i="32"/>
  <c r="I39" i="32"/>
  <c r="E39" i="32"/>
  <c r="M38" i="32"/>
  <c r="Q37" i="32"/>
  <c r="P34" i="32"/>
  <c r="M37" i="32"/>
  <c r="M40" i="32"/>
  <c r="I37" i="32"/>
  <c r="H34" i="32"/>
  <c r="E37" i="32"/>
  <c r="Y34" i="32"/>
  <c r="X34" i="32"/>
  <c r="W34" i="32"/>
  <c r="W37" i="32"/>
  <c r="W40" i="32"/>
  <c r="S34" i="32"/>
  <c r="S38" i="32"/>
  <c r="W38" i="32"/>
  <c r="R34" i="32"/>
  <c r="R38" i="32"/>
  <c r="V38" i="32"/>
  <c r="Q34" i="32"/>
  <c r="O34" i="32"/>
  <c r="O38" i="32"/>
  <c r="N34" i="32"/>
  <c r="N38" i="32"/>
  <c r="M34" i="32"/>
  <c r="K34" i="32"/>
  <c r="K38" i="32"/>
  <c r="J34" i="32"/>
  <c r="J38" i="32"/>
  <c r="G34" i="32"/>
  <c r="G38" i="32"/>
  <c r="F34" i="32"/>
  <c r="F38" i="32"/>
  <c r="E34" i="32"/>
  <c r="D34" i="32"/>
  <c r="D41" i="32"/>
  <c r="C34" i="32"/>
  <c r="C38" i="32"/>
  <c r="B34" i="32"/>
  <c r="B38" i="32"/>
  <c r="S33" i="32"/>
  <c r="C33" i="32"/>
  <c r="B33" i="32"/>
  <c r="S32" i="32"/>
  <c r="R32" i="32"/>
  <c r="P32" i="32"/>
  <c r="O32" i="32"/>
  <c r="N32" i="32"/>
  <c r="M32" i="32"/>
  <c r="L32" i="32"/>
  <c r="K32" i="32"/>
  <c r="J32" i="32"/>
  <c r="H32" i="32"/>
  <c r="G32" i="32"/>
  <c r="F32" i="32"/>
  <c r="D32" i="32"/>
  <c r="C32" i="32"/>
  <c r="B32" i="32"/>
  <c r="X31" i="32"/>
  <c r="X32" i="32"/>
  <c r="U31" i="32"/>
  <c r="T31" i="32"/>
  <c r="Q31" i="32"/>
  <c r="M31" i="32"/>
  <c r="I31" i="32"/>
  <c r="E31" i="32"/>
  <c r="L30" i="32"/>
  <c r="G30" i="32"/>
  <c r="B30" i="32"/>
  <c r="Y29" i="32"/>
  <c r="X29" i="32"/>
  <c r="U29" i="32"/>
  <c r="T29" i="32"/>
  <c r="Q29" i="32"/>
  <c r="M29" i="32"/>
  <c r="I29" i="32"/>
  <c r="E29" i="32"/>
  <c r="E32" i="32"/>
  <c r="R28" i="32"/>
  <c r="N28" i="32"/>
  <c r="K28" i="32"/>
  <c r="J28" i="32"/>
  <c r="F28" i="32"/>
  <c r="AC27" i="32"/>
  <c r="AC29" i="32"/>
  <c r="Y27" i="32"/>
  <c r="Y31" i="32"/>
  <c r="Y32" i="32"/>
  <c r="X27" i="32"/>
  <c r="AB27" i="32"/>
  <c r="V27" i="32"/>
  <c r="V21" i="32"/>
  <c r="S27" i="32"/>
  <c r="S28" i="32"/>
  <c r="R27" i="32"/>
  <c r="R33" i="32"/>
  <c r="P27" i="32"/>
  <c r="P30" i="32"/>
  <c r="O27" i="32"/>
  <c r="O30" i="32"/>
  <c r="N27" i="32"/>
  <c r="N33" i="32"/>
  <c r="L27" i="32"/>
  <c r="K27" i="32"/>
  <c r="K36" i="32"/>
  <c r="J27" i="32"/>
  <c r="J33" i="32"/>
  <c r="H27" i="32"/>
  <c r="H30" i="32"/>
  <c r="G27" i="32"/>
  <c r="G36" i="32"/>
  <c r="F27" i="32"/>
  <c r="F33" i="32"/>
  <c r="D27" i="32"/>
  <c r="C27" i="32"/>
  <c r="C28" i="32"/>
  <c r="S26" i="32"/>
  <c r="R26" i="32"/>
  <c r="P26" i="32"/>
  <c r="O26" i="32"/>
  <c r="N26" i="32"/>
  <c r="K26" i="32"/>
  <c r="J26" i="32"/>
  <c r="H26" i="32"/>
  <c r="D26" i="32"/>
  <c r="C26" i="32"/>
  <c r="S25" i="32"/>
  <c r="R25" i="32"/>
  <c r="P25" i="32"/>
  <c r="O25" i="32"/>
  <c r="N25" i="32"/>
  <c r="L25" i="32"/>
  <c r="K25" i="32"/>
  <c r="J25" i="32"/>
  <c r="H25" i="32"/>
  <c r="G25" i="32"/>
  <c r="F25" i="32"/>
  <c r="D25" i="32"/>
  <c r="C25" i="32"/>
  <c r="B25" i="32"/>
  <c r="Q24" i="32"/>
  <c r="M24" i="32"/>
  <c r="I24" i="32"/>
  <c r="E24" i="32"/>
  <c r="AC23" i="32"/>
  <c r="AC70" i="32"/>
  <c r="AB23" i="32"/>
  <c r="AB70" i="32" s="1"/>
  <c r="AA23" i="32"/>
  <c r="AA70" i="32" s="1"/>
  <c r="Z23" i="32"/>
  <c r="Y23" i="32"/>
  <c r="Y70" i="32" s="1"/>
  <c r="X23" i="32"/>
  <c r="X70" i="32" s="1"/>
  <c r="W23" i="32"/>
  <c r="W70" i="32" s="1"/>
  <c r="V23" i="32"/>
  <c r="V22" i="32" s="1"/>
  <c r="U23" i="32"/>
  <c r="U70" i="32" s="1"/>
  <c r="T23" i="32"/>
  <c r="T70" i="32" s="1"/>
  <c r="S23" i="32"/>
  <c r="R23" i="32"/>
  <c r="P23" i="32"/>
  <c r="O23" i="32"/>
  <c r="N23" i="32"/>
  <c r="K23" i="32"/>
  <c r="J23" i="32"/>
  <c r="H23" i="32"/>
  <c r="F23" i="32"/>
  <c r="D23" i="32"/>
  <c r="C23" i="32"/>
  <c r="Q22" i="32"/>
  <c r="M22" i="32"/>
  <c r="M25" i="32"/>
  <c r="I22" i="32"/>
  <c r="E22" i="32"/>
  <c r="Y21" i="32"/>
  <c r="X21" i="32"/>
  <c r="U21" i="32"/>
  <c r="U28" i="32"/>
  <c r="T21" i="32"/>
  <c r="T28" i="32"/>
  <c r="Q21" i="32"/>
  <c r="Q23" i="32"/>
  <c r="Q70" i="32"/>
  <c r="L21" i="32"/>
  <c r="L26" i="32"/>
  <c r="G21" i="32"/>
  <c r="G23" i="32"/>
  <c r="F21" i="32"/>
  <c r="F26" i="32"/>
  <c r="B21" i="32"/>
  <c r="E21" i="32"/>
  <c r="E23" i="32"/>
  <c r="E70" i="32"/>
  <c r="V19" i="32"/>
  <c r="U19" i="32"/>
  <c r="U36" i="32"/>
  <c r="T19" i="32"/>
  <c r="T36" i="32"/>
  <c r="S19" i="32"/>
  <c r="S36" i="32"/>
  <c r="R19" i="32"/>
  <c r="P19" i="32"/>
  <c r="O19" i="32"/>
  <c r="N19" i="32"/>
  <c r="L19" i="32"/>
  <c r="K19" i="32"/>
  <c r="J19" i="32"/>
  <c r="H19" i="32"/>
  <c r="G19" i="32"/>
  <c r="F19" i="32"/>
  <c r="E19" i="32"/>
  <c r="D19" i="32"/>
  <c r="C19" i="32"/>
  <c r="C36" i="32"/>
  <c r="B19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S13" i="32"/>
  <c r="R13" i="32"/>
  <c r="P13" i="32"/>
  <c r="O13" i="32"/>
  <c r="N13" i="32"/>
  <c r="L13" i="32"/>
  <c r="K13" i="32"/>
  <c r="J13" i="32"/>
  <c r="H13" i="32"/>
  <c r="G13" i="32"/>
  <c r="F13" i="32"/>
  <c r="D13" i="32"/>
  <c r="C13" i="32"/>
  <c r="B13" i="32"/>
  <c r="S12" i="32"/>
  <c r="R12" i="32"/>
  <c r="P12" i="32"/>
  <c r="O12" i="32"/>
  <c r="N12" i="32"/>
  <c r="L12" i="32"/>
  <c r="K12" i="32"/>
  <c r="J12" i="32"/>
  <c r="H12" i="32"/>
  <c r="G12" i="32"/>
  <c r="F12" i="32"/>
  <c r="D12" i="32"/>
  <c r="C12" i="32"/>
  <c r="B12" i="32"/>
  <c r="Q11" i="32"/>
  <c r="Q13" i="32"/>
  <c r="M11" i="32"/>
  <c r="I11" i="32"/>
  <c r="I13" i="32"/>
  <c r="E11" i="32"/>
  <c r="E13" i="32"/>
  <c r="S10" i="32"/>
  <c r="R10" i="32"/>
  <c r="Q10" i="32"/>
  <c r="P10" i="32"/>
  <c r="O10" i="32"/>
  <c r="N10" i="32"/>
  <c r="M10" i="32"/>
  <c r="L10" i="32"/>
  <c r="K10" i="32"/>
  <c r="J10" i="32"/>
  <c r="H10" i="32"/>
  <c r="G10" i="32"/>
  <c r="F10" i="32"/>
  <c r="E10" i="32"/>
  <c r="D10" i="32"/>
  <c r="C10" i="32"/>
  <c r="B10" i="32"/>
  <c r="Q9" i="32"/>
  <c r="M9" i="32"/>
  <c r="M12" i="32"/>
  <c r="I9" i="32"/>
  <c r="I10" i="32"/>
  <c r="E9" i="32"/>
  <c r="Y8" i="32"/>
  <c r="AC8" i="32"/>
  <c r="X8" i="32"/>
  <c r="AB8" i="32"/>
  <c r="W8" i="32"/>
  <c r="V8" i="32"/>
  <c r="Z8" i="32"/>
  <c r="Q8" i="32"/>
  <c r="M8" i="32"/>
  <c r="M13" i="32"/>
  <c r="I8" i="32"/>
  <c r="E8" i="32"/>
  <c r="S7" i="32"/>
  <c r="R7" i="32"/>
  <c r="P7" i="32"/>
  <c r="O7" i="32"/>
  <c r="N7" i="32"/>
  <c r="L7" i="32"/>
  <c r="K7" i="32"/>
  <c r="J7" i="32"/>
  <c r="H7" i="32"/>
  <c r="G7" i="32"/>
  <c r="F7" i="32"/>
  <c r="D7" i="32"/>
  <c r="C7" i="32"/>
  <c r="B7" i="32"/>
  <c r="S6" i="32"/>
  <c r="R6" i="32"/>
  <c r="P6" i="32"/>
  <c r="O6" i="32"/>
  <c r="N6" i="32"/>
  <c r="L6" i="32"/>
  <c r="K6" i="32"/>
  <c r="J6" i="32"/>
  <c r="H6" i="32"/>
  <c r="G6" i="32"/>
  <c r="F6" i="32"/>
  <c r="D6" i="32"/>
  <c r="C6" i="32"/>
  <c r="B6" i="32"/>
  <c r="Q5" i="32"/>
  <c r="Q7" i="32"/>
  <c r="M5" i="32"/>
  <c r="I5" i="32"/>
  <c r="I7" i="32"/>
  <c r="E5" i="32"/>
  <c r="E7" i="32"/>
  <c r="AC4" i="32"/>
  <c r="AB4" i="32"/>
  <c r="AC10" i="32" s="1"/>
  <c r="AC9" i="32" s="1"/>
  <c r="AA4" i="32"/>
  <c r="AB10" i="32" s="1"/>
  <c r="Z4" i="32"/>
  <c r="AA10" i="32" s="1"/>
  <c r="AA9" i="32" s="1"/>
  <c r="AA11" i="32" s="1"/>
  <c r="AA13" i="32" s="1"/>
  <c r="Y4" i="32"/>
  <c r="X4" i="32"/>
  <c r="Y10" i="32" s="1"/>
  <c r="Y9" i="32" s="1"/>
  <c r="W4" i="32"/>
  <c r="X10" i="32" s="1"/>
  <c r="X9" i="32" s="1"/>
  <c r="X11" i="32" s="1"/>
  <c r="X13" i="32" s="1"/>
  <c r="V4" i="32"/>
  <c r="W10" i="32" s="1"/>
  <c r="W9" i="32" s="1"/>
  <c r="W11" i="32" s="1"/>
  <c r="W13" i="32" s="1"/>
  <c r="U4" i="32"/>
  <c r="V10" i="32" s="1"/>
  <c r="V9" i="32" s="1"/>
  <c r="V11" i="32" s="1"/>
  <c r="V13" i="32" s="1"/>
  <c r="T4" i="32"/>
  <c r="T3" i="32" s="1"/>
  <c r="S4" i="32"/>
  <c r="T10" i="32"/>
  <c r="T9" i="32"/>
  <c r="R4" i="32"/>
  <c r="Q4" i="32"/>
  <c r="P4" i="32"/>
  <c r="O4" i="32"/>
  <c r="N4" i="32"/>
  <c r="M4" i="32"/>
  <c r="L4" i="32"/>
  <c r="K4" i="32"/>
  <c r="J4" i="32"/>
  <c r="H4" i="32"/>
  <c r="G4" i="32"/>
  <c r="F4" i="32"/>
  <c r="E4" i="32"/>
  <c r="D4" i="32"/>
  <c r="C4" i="32"/>
  <c r="B4" i="32"/>
  <c r="Q3" i="32"/>
  <c r="M3" i="32"/>
  <c r="M6" i="32"/>
  <c r="I3" i="32"/>
  <c r="I4" i="32"/>
  <c r="E3" i="32"/>
  <c r="Y2" i="32"/>
  <c r="AC2" i="32"/>
  <c r="X2" i="32"/>
  <c r="AB2" i="32"/>
  <c r="W2" i="32"/>
  <c r="W19" i="32"/>
  <c r="V2" i="32"/>
  <c r="Z2" i="32"/>
  <c r="Q2" i="32"/>
  <c r="Q19" i="32"/>
  <c r="M2" i="32"/>
  <c r="M7" i="32"/>
  <c r="I2" i="32"/>
  <c r="I19" i="32"/>
  <c r="E2" i="32"/>
  <c r="D37" i="25"/>
  <c r="C37" i="25"/>
  <c r="B37" i="25"/>
  <c r="D35" i="25"/>
  <c r="C35" i="25"/>
  <c r="B35" i="25"/>
  <c r="D34" i="25"/>
  <c r="C34" i="25"/>
  <c r="B34" i="25"/>
  <c r="D33" i="25"/>
  <c r="C33" i="25"/>
  <c r="B33" i="25"/>
  <c r="D30" i="25"/>
  <c r="C30" i="25"/>
  <c r="B30" i="25"/>
  <c r="D29" i="25"/>
  <c r="D36" i="25" s="1"/>
  <c r="C29" i="25"/>
  <c r="C36" i="25" s="1"/>
  <c r="B29" i="25"/>
  <c r="B36" i="25" s="1"/>
  <c r="C39" i="25"/>
  <c r="C31" i="25"/>
  <c r="B31" i="25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P17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P1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P14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U48" i="31"/>
  <c r="V48" i="31"/>
  <c r="W48" i="31"/>
  <c r="X48" i="31"/>
  <c r="Y48" i="31"/>
  <c r="Z48" i="31"/>
  <c r="AA48" i="31"/>
  <c r="AB48" i="31"/>
  <c r="AC48" i="31"/>
  <c r="T48" i="31"/>
  <c r="U45" i="31"/>
  <c r="V45" i="31"/>
  <c r="W45" i="31"/>
  <c r="X45" i="31"/>
  <c r="Y45" i="31"/>
  <c r="Z45" i="31"/>
  <c r="AA45" i="31"/>
  <c r="AB45" i="31"/>
  <c r="AC45" i="31"/>
  <c r="T45" i="31"/>
  <c r="Y44" i="31"/>
  <c r="Z44" i="31"/>
  <c r="AA44" i="31"/>
  <c r="AB44" i="31"/>
  <c r="AC44" i="31"/>
  <c r="W44" i="31"/>
  <c r="X44" i="31"/>
  <c r="U44" i="31"/>
  <c r="V44" i="31"/>
  <c r="T44" i="31"/>
  <c r="U43" i="31"/>
  <c r="V43" i="31"/>
  <c r="W43" i="31"/>
  <c r="X43" i="31"/>
  <c r="Y43" i="31"/>
  <c r="Z43" i="31"/>
  <c r="AA43" i="31"/>
  <c r="AB43" i="31"/>
  <c r="AC43" i="31"/>
  <c r="T43" i="31"/>
  <c r="Y42" i="31"/>
  <c r="Z42" i="31"/>
  <c r="AA42" i="31"/>
  <c r="AB42" i="31"/>
  <c r="AC42" i="31"/>
  <c r="W42" i="31"/>
  <c r="X42" i="31"/>
  <c r="U42" i="31"/>
  <c r="V42" i="31"/>
  <c r="T42" i="31"/>
  <c r="U41" i="31"/>
  <c r="V41" i="31"/>
  <c r="W41" i="31"/>
  <c r="X41" i="31"/>
  <c r="Y41" i="31"/>
  <c r="Z41" i="31"/>
  <c r="AA41" i="31"/>
  <c r="AB41" i="31"/>
  <c r="AC41" i="31"/>
  <c r="T41" i="31"/>
  <c r="Y40" i="31"/>
  <c r="Z40" i="31"/>
  <c r="AA40" i="31"/>
  <c r="W40" i="31"/>
  <c r="X40" i="31"/>
  <c r="U40" i="31"/>
  <c r="V40" i="31"/>
  <c r="T40" i="31"/>
  <c r="U37" i="31"/>
  <c r="T37" i="31"/>
  <c r="V36" i="31"/>
  <c r="U36" i="31"/>
  <c r="T36" i="31"/>
  <c r="W35" i="31"/>
  <c r="X35" i="31"/>
  <c r="Y35" i="31"/>
  <c r="Z35" i="31"/>
  <c r="AA35" i="31"/>
  <c r="AB35" i="31"/>
  <c r="AC35" i="31"/>
  <c r="U35" i="31"/>
  <c r="V35" i="31"/>
  <c r="T35" i="31"/>
  <c r="V34" i="31"/>
  <c r="U34" i="31"/>
  <c r="U38" i="31"/>
  <c r="T34" i="31"/>
  <c r="T38" i="31"/>
  <c r="Y29" i="31"/>
  <c r="T28" i="31"/>
  <c r="V27" i="31"/>
  <c r="U27" i="31"/>
  <c r="T27" i="31"/>
  <c r="T22" i="31"/>
  <c r="T21" i="31"/>
  <c r="T20" i="31"/>
  <c r="V19" i="31"/>
  <c r="U19" i="31"/>
  <c r="T19" i="31"/>
  <c r="W17" i="31"/>
  <c r="X17" i="31"/>
  <c r="Y17" i="31"/>
  <c r="Z17" i="31"/>
  <c r="AA17" i="31"/>
  <c r="AB17" i="31"/>
  <c r="AC17" i="31"/>
  <c r="V17" i="31"/>
  <c r="T17" i="31"/>
  <c r="U17" i="31"/>
  <c r="V16" i="31"/>
  <c r="W16" i="31"/>
  <c r="X16" i="31"/>
  <c r="Y16" i="31"/>
  <c r="Z16" i="31"/>
  <c r="AA16" i="31"/>
  <c r="AB16" i="31"/>
  <c r="AC16" i="31"/>
  <c r="U16" i="31"/>
  <c r="T16" i="31"/>
  <c r="T12" i="31"/>
  <c r="U12" i="31"/>
  <c r="V12" i="31"/>
  <c r="W12" i="31"/>
  <c r="T8" i="31"/>
  <c r="T7" i="31"/>
  <c r="U6" i="31"/>
  <c r="V6" i="31"/>
  <c r="W6" i="31"/>
  <c r="X6" i="31"/>
  <c r="Y6" i="31"/>
  <c r="Z6" i="31"/>
  <c r="AA6" i="31"/>
  <c r="AB6" i="31"/>
  <c r="AC6" i="31"/>
  <c r="T6" i="31"/>
  <c r="W5" i="31"/>
  <c r="V5" i="31"/>
  <c r="U5" i="31"/>
  <c r="T5" i="31"/>
  <c r="X5" i="31"/>
  <c r="S58" i="30"/>
  <c r="R58" i="30"/>
  <c r="Q58" i="30"/>
  <c r="P58" i="30"/>
  <c r="O58" i="30"/>
  <c r="N58" i="30"/>
  <c r="Q59" i="30"/>
  <c r="M58" i="30"/>
  <c r="L58" i="30"/>
  <c r="K58" i="30"/>
  <c r="J58" i="30"/>
  <c r="I58" i="30"/>
  <c r="H58" i="30"/>
  <c r="G58" i="30"/>
  <c r="F58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2" i="30"/>
  <c r="G51" i="30"/>
  <c r="T51" i="30"/>
  <c r="S51" i="30"/>
  <c r="Q51" i="30"/>
  <c r="O51" i="30"/>
  <c r="M51" i="30"/>
  <c r="K51" i="30"/>
  <c r="I51" i="30"/>
  <c r="F51" i="30"/>
  <c r="V48" i="30"/>
  <c r="T48" i="30"/>
  <c r="Y45" i="30"/>
  <c r="U45" i="30"/>
  <c r="U48" i="30"/>
  <c r="AC42" i="30"/>
  <c r="AB42" i="30"/>
  <c r="AB48" i="30"/>
  <c r="AA42" i="30"/>
  <c r="AA48" i="30"/>
  <c r="Z42" i="30"/>
  <c r="Z48" i="30"/>
  <c r="Y42" i="30"/>
  <c r="X42" i="30"/>
  <c r="X48" i="30"/>
  <c r="W42" i="30"/>
  <c r="W48" i="30"/>
  <c r="V42" i="30"/>
  <c r="U42" i="30"/>
  <c r="T42" i="30"/>
  <c r="V36" i="30"/>
  <c r="U36" i="30"/>
  <c r="T36" i="30"/>
  <c r="Y31" i="30"/>
  <c r="X31" i="30"/>
  <c r="W31" i="30"/>
  <c r="V31" i="30"/>
  <c r="V39" i="30"/>
  <c r="U31" i="30"/>
  <c r="U39" i="30"/>
  <c r="T31" i="30"/>
  <c r="T25" i="30"/>
  <c r="V24" i="30"/>
  <c r="U24" i="30"/>
  <c r="T24" i="30"/>
  <c r="T21" i="30"/>
  <c r="AC19" i="30"/>
  <c r="AB19" i="30"/>
  <c r="AA19" i="30"/>
  <c r="Z19" i="30"/>
  <c r="Y19" i="30"/>
  <c r="X19" i="30"/>
  <c r="W19" i="30"/>
  <c r="V19" i="30"/>
  <c r="U19" i="30"/>
  <c r="T19" i="30"/>
  <c r="X18" i="30"/>
  <c r="W18" i="30"/>
  <c r="V18" i="30"/>
  <c r="U18" i="30"/>
  <c r="T18" i="30"/>
  <c r="T5" i="30"/>
  <c r="T27" i="30"/>
  <c r="T4" i="30"/>
  <c r="Y63" i="29"/>
  <c r="Z63" i="29" s="1"/>
  <c r="AA63" i="29" s="1"/>
  <c r="AB63" i="29" s="1"/>
  <c r="AC63" i="29" s="1"/>
  <c r="X63" i="29"/>
  <c r="W63" i="29"/>
  <c r="V63" i="29"/>
  <c r="U63" i="29"/>
  <c r="T63" i="29"/>
  <c r="S63" i="29"/>
  <c r="R63" i="29"/>
  <c r="Q63" i="29"/>
  <c r="P63" i="29"/>
  <c r="O63" i="29"/>
  <c r="N63" i="29"/>
  <c r="N69" i="29"/>
  <c r="M63" i="29"/>
  <c r="L63" i="29"/>
  <c r="K63" i="29"/>
  <c r="J63" i="29"/>
  <c r="J69" i="29" s="1"/>
  <c r="I63" i="29"/>
  <c r="H63" i="29"/>
  <c r="G63" i="29"/>
  <c r="F63" i="29"/>
  <c r="F69" i="29" s="1"/>
  <c r="E63" i="29"/>
  <c r="D63" i="29"/>
  <c r="C63" i="29"/>
  <c r="B63" i="29"/>
  <c r="B69" i="29" s="1"/>
  <c r="Y62" i="29"/>
  <c r="X62" i="29"/>
  <c r="W62" i="29"/>
  <c r="V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C62" i="29"/>
  <c r="B62" i="29"/>
  <c r="Y61" i="29"/>
  <c r="Z61" i="29" s="1"/>
  <c r="AA61" i="29" s="1"/>
  <c r="AB61" i="29" s="1"/>
  <c r="AC61" i="29" s="1"/>
  <c r="X61" i="29"/>
  <c r="W61" i="29"/>
  <c r="V61" i="29"/>
  <c r="U61" i="29"/>
  <c r="T61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G61" i="29"/>
  <c r="F61" i="29"/>
  <c r="E61" i="29"/>
  <c r="D61" i="29"/>
  <c r="C61" i="29"/>
  <c r="B61" i="29"/>
  <c r="S57" i="29"/>
  <c r="S54" i="30"/>
  <c r="R57" i="29"/>
  <c r="R54" i="30"/>
  <c r="P57" i="29"/>
  <c r="P54" i="30"/>
  <c r="O57" i="29"/>
  <c r="O54" i="30"/>
  <c r="N57" i="29"/>
  <c r="N54" i="30"/>
  <c r="L57" i="29"/>
  <c r="L54" i="30"/>
  <c r="K57" i="29"/>
  <c r="K54" i="30"/>
  <c r="J57" i="29"/>
  <c r="J54" i="30"/>
  <c r="H57" i="29"/>
  <c r="H54" i="30"/>
  <c r="G57" i="29"/>
  <c r="G54" i="30"/>
  <c r="F57" i="29"/>
  <c r="F54" i="30"/>
  <c r="D57" i="29"/>
  <c r="D54" i="30"/>
  <c r="C57" i="29"/>
  <c r="B57" i="29"/>
  <c r="Q55" i="29"/>
  <c r="T55" i="29"/>
  <c r="U55" i="29"/>
  <c r="V55" i="29"/>
  <c r="W55" i="29"/>
  <c r="X55" i="29"/>
  <c r="Y55" i="29"/>
  <c r="Z55" i="29"/>
  <c r="AA55" i="29"/>
  <c r="AB55" i="29"/>
  <c r="AC55" i="29"/>
  <c r="M55" i="29"/>
  <c r="I55" i="29"/>
  <c r="E55" i="29"/>
  <c r="AC53" i="29"/>
  <c r="Y53" i="29"/>
  <c r="U53" i="29"/>
  <c r="Q53" i="29"/>
  <c r="M53" i="29"/>
  <c r="I53" i="29"/>
  <c r="E53" i="29"/>
  <c r="AC52" i="29"/>
  <c r="Y52" i="29"/>
  <c r="U52" i="29"/>
  <c r="Q52" i="29"/>
  <c r="M52" i="29"/>
  <c r="I52" i="29"/>
  <c r="E52" i="29"/>
  <c r="S50" i="29"/>
  <c r="R50" i="29"/>
  <c r="P50" i="29"/>
  <c r="O50" i="29"/>
  <c r="N50" i="29"/>
  <c r="L50" i="29"/>
  <c r="K50" i="29"/>
  <c r="J50" i="29"/>
  <c r="H50" i="29"/>
  <c r="G50" i="29"/>
  <c r="F50" i="29"/>
  <c r="E50" i="29"/>
  <c r="D50" i="29"/>
  <c r="C50" i="29"/>
  <c r="B50" i="29"/>
  <c r="S49" i="29"/>
  <c r="T49" i="29"/>
  <c r="U49" i="29"/>
  <c r="V49" i="29"/>
  <c r="W49" i="29"/>
  <c r="X49" i="29"/>
  <c r="Y49" i="29"/>
  <c r="Z49" i="29"/>
  <c r="AA49" i="29"/>
  <c r="AB49" i="29"/>
  <c r="AC49" i="29"/>
  <c r="R49" i="29"/>
  <c r="P49" i="29"/>
  <c r="O49" i="29"/>
  <c r="N49" i="29"/>
  <c r="L49" i="29"/>
  <c r="K49" i="29"/>
  <c r="J49" i="29"/>
  <c r="H49" i="29"/>
  <c r="G49" i="29"/>
  <c r="F49" i="29"/>
  <c r="D49" i="29"/>
  <c r="C49" i="29"/>
  <c r="B49" i="29"/>
  <c r="Q48" i="29"/>
  <c r="Q50" i="29"/>
  <c r="M48" i="29"/>
  <c r="M50" i="29"/>
  <c r="I48" i="29"/>
  <c r="I50" i="29"/>
  <c r="E48" i="29"/>
  <c r="M47" i="29"/>
  <c r="I47" i="29"/>
  <c r="Q46" i="29"/>
  <c r="M46" i="29"/>
  <c r="I46" i="29"/>
  <c r="E46" i="29"/>
  <c r="Q45" i="29"/>
  <c r="M45" i="29"/>
  <c r="I45" i="29"/>
  <c r="E45" i="29"/>
  <c r="Y44" i="29"/>
  <c r="U44" i="29"/>
  <c r="R69" i="29"/>
  <c r="Y43" i="29"/>
  <c r="U43" i="29"/>
  <c r="S41" i="29"/>
  <c r="R41" i="29"/>
  <c r="O41" i="29"/>
  <c r="L41" i="29"/>
  <c r="K41" i="29"/>
  <c r="J41" i="29"/>
  <c r="G41" i="29"/>
  <c r="F41" i="29"/>
  <c r="B41" i="29"/>
  <c r="S40" i="29"/>
  <c r="R40" i="29"/>
  <c r="P40" i="29"/>
  <c r="O40" i="29"/>
  <c r="N40" i="29"/>
  <c r="L40" i="29"/>
  <c r="K40" i="29"/>
  <c r="J40" i="29"/>
  <c r="H40" i="29"/>
  <c r="G40" i="29"/>
  <c r="F40" i="29"/>
  <c r="D40" i="29"/>
  <c r="C40" i="29"/>
  <c r="B40" i="29"/>
  <c r="Z39" i="29"/>
  <c r="W39" i="29"/>
  <c r="W40" i="29"/>
  <c r="V39" i="29"/>
  <c r="T39" i="29"/>
  <c r="X39" i="29"/>
  <c r="Q39" i="29"/>
  <c r="M39" i="29"/>
  <c r="I39" i="29"/>
  <c r="E39" i="29"/>
  <c r="R38" i="29"/>
  <c r="V38" i="29"/>
  <c r="Z38" i="29"/>
  <c r="N38" i="29"/>
  <c r="F38" i="29"/>
  <c r="D38" i="29"/>
  <c r="B38" i="29"/>
  <c r="Q37" i="29"/>
  <c r="M37" i="29"/>
  <c r="I37" i="29"/>
  <c r="I38" i="29"/>
  <c r="E37" i="29"/>
  <c r="E38" i="29"/>
  <c r="Y34" i="29"/>
  <c r="X34" i="29"/>
  <c r="W34" i="29"/>
  <c r="W37" i="29"/>
  <c r="V34" i="29"/>
  <c r="V41" i="29"/>
  <c r="S34" i="29"/>
  <c r="S38" i="29"/>
  <c r="W38" i="29"/>
  <c r="AA38" i="29"/>
  <c r="R34" i="29"/>
  <c r="Q34" i="29"/>
  <c r="Q38" i="29"/>
  <c r="U38" i="29"/>
  <c r="P34" i="29"/>
  <c r="P41" i="29"/>
  <c r="O34" i="29"/>
  <c r="O38" i="29"/>
  <c r="N34" i="29"/>
  <c r="N41" i="29"/>
  <c r="M34" i="29"/>
  <c r="M38" i="29"/>
  <c r="L34" i="29"/>
  <c r="L38" i="29"/>
  <c r="K34" i="29"/>
  <c r="K38" i="29"/>
  <c r="J34" i="29"/>
  <c r="J38" i="29"/>
  <c r="I34" i="29"/>
  <c r="G34" i="29"/>
  <c r="G38" i="29"/>
  <c r="F34" i="29"/>
  <c r="F36" i="29"/>
  <c r="E34" i="29"/>
  <c r="D34" i="29"/>
  <c r="D41" i="29"/>
  <c r="C34" i="29"/>
  <c r="C38" i="29"/>
  <c r="B34" i="29"/>
  <c r="B33" i="29"/>
  <c r="S32" i="29"/>
  <c r="R32" i="29"/>
  <c r="P32" i="29"/>
  <c r="O32" i="29"/>
  <c r="N32" i="29"/>
  <c r="L32" i="29"/>
  <c r="K32" i="29"/>
  <c r="J32" i="29"/>
  <c r="H32" i="29"/>
  <c r="G32" i="29"/>
  <c r="F32" i="29"/>
  <c r="E32" i="29"/>
  <c r="D32" i="29"/>
  <c r="C32" i="29"/>
  <c r="B32" i="29"/>
  <c r="U31" i="29"/>
  <c r="U32" i="29"/>
  <c r="T31" i="29"/>
  <c r="T32" i="29"/>
  <c r="Q31" i="29"/>
  <c r="M31" i="29"/>
  <c r="I31" i="29"/>
  <c r="E31" i="29"/>
  <c r="B30" i="29"/>
  <c r="U29" i="29"/>
  <c r="T29" i="29"/>
  <c r="Q29" i="29"/>
  <c r="M29" i="29"/>
  <c r="I29" i="29"/>
  <c r="E29" i="29"/>
  <c r="U28" i="29"/>
  <c r="P28" i="29"/>
  <c r="L28" i="29"/>
  <c r="H28" i="29"/>
  <c r="D28" i="29"/>
  <c r="Y27" i="29"/>
  <c r="AC27" i="29"/>
  <c r="X27" i="29"/>
  <c r="X36" i="29"/>
  <c r="AB36" i="29"/>
  <c r="S27" i="29"/>
  <c r="S33" i="29"/>
  <c r="R27" i="29"/>
  <c r="R33" i="29"/>
  <c r="P27" i="29"/>
  <c r="P33" i="29"/>
  <c r="O27" i="29"/>
  <c r="O36" i="29"/>
  <c r="N27" i="29"/>
  <c r="N36" i="29"/>
  <c r="L27" i="29"/>
  <c r="L33" i="29"/>
  <c r="K27" i="29"/>
  <c r="K33" i="29"/>
  <c r="J27" i="29"/>
  <c r="J36" i="29"/>
  <c r="H27" i="29"/>
  <c r="H33" i="29"/>
  <c r="G27" i="29"/>
  <c r="G33" i="29"/>
  <c r="F27" i="29"/>
  <c r="F33" i="29"/>
  <c r="D27" i="29"/>
  <c r="D33" i="29"/>
  <c r="C27" i="29"/>
  <c r="C33" i="29"/>
  <c r="S26" i="29"/>
  <c r="R26" i="29"/>
  <c r="P26" i="29"/>
  <c r="O26" i="29"/>
  <c r="N26" i="29"/>
  <c r="L26" i="29"/>
  <c r="K26" i="29"/>
  <c r="J26" i="29"/>
  <c r="H26" i="29"/>
  <c r="D26" i="29"/>
  <c r="C26" i="29"/>
  <c r="S25" i="29"/>
  <c r="R25" i="29"/>
  <c r="P25" i="29"/>
  <c r="O25" i="29"/>
  <c r="N25" i="29"/>
  <c r="L25" i="29"/>
  <c r="K25" i="29"/>
  <c r="J25" i="29"/>
  <c r="H25" i="29"/>
  <c r="G25" i="29"/>
  <c r="F25" i="29"/>
  <c r="D25" i="29"/>
  <c r="C25" i="29"/>
  <c r="B25" i="29"/>
  <c r="Q24" i="29"/>
  <c r="Q26" i="29"/>
  <c r="M24" i="29"/>
  <c r="M26" i="29"/>
  <c r="I24" i="29"/>
  <c r="E24" i="29"/>
  <c r="AC23" i="29"/>
  <c r="AC70" i="29" s="1"/>
  <c r="AB23" i="29"/>
  <c r="AB70" i="29" s="1"/>
  <c r="AA23" i="29"/>
  <c r="AA70" i="29" s="1"/>
  <c r="Z23" i="29"/>
  <c r="Y23" i="29"/>
  <c r="Y70" i="29" s="1"/>
  <c r="X23" i="29"/>
  <c r="X70" i="29" s="1"/>
  <c r="W23" i="29"/>
  <c r="W70" i="29" s="1"/>
  <c r="V23" i="29"/>
  <c r="U23" i="29"/>
  <c r="T23" i="29"/>
  <c r="T70" i="29" s="1"/>
  <c r="S23" i="29"/>
  <c r="R23" i="29"/>
  <c r="P23" i="29"/>
  <c r="O23" i="29"/>
  <c r="N23" i="29"/>
  <c r="L23" i="29"/>
  <c r="K23" i="29"/>
  <c r="J23" i="29"/>
  <c r="H23" i="29"/>
  <c r="F23" i="29"/>
  <c r="D23" i="29"/>
  <c r="C23" i="29"/>
  <c r="Q22" i="29"/>
  <c r="M22" i="29"/>
  <c r="M23" i="29"/>
  <c r="M70" i="29"/>
  <c r="I22" i="29"/>
  <c r="I23" i="29"/>
  <c r="I70" i="29"/>
  <c r="E22" i="29"/>
  <c r="X21" i="29"/>
  <c r="X22" i="29"/>
  <c r="U21" i="29"/>
  <c r="T21" i="29"/>
  <c r="T28" i="29"/>
  <c r="Q21" i="29"/>
  <c r="Q23" i="29"/>
  <c r="Q70" i="29"/>
  <c r="M21" i="29"/>
  <c r="L21" i="29"/>
  <c r="I21" i="29"/>
  <c r="G21" i="29"/>
  <c r="G26" i="29"/>
  <c r="F21" i="29"/>
  <c r="F26" i="29"/>
  <c r="B21" i="29"/>
  <c r="B26" i="29"/>
  <c r="Y19" i="29"/>
  <c r="V19" i="29"/>
  <c r="U19" i="29"/>
  <c r="U36" i="29"/>
  <c r="T19" i="29"/>
  <c r="T36" i="29"/>
  <c r="S19" i="29"/>
  <c r="R19" i="29"/>
  <c r="Q19" i="29"/>
  <c r="P19" i="29"/>
  <c r="O19" i="29"/>
  <c r="N19" i="29"/>
  <c r="L19" i="29"/>
  <c r="K19" i="29"/>
  <c r="J19" i="29"/>
  <c r="H19" i="29"/>
  <c r="G19" i="29"/>
  <c r="F19" i="29"/>
  <c r="D19" i="29"/>
  <c r="D36" i="29"/>
  <c r="C19" i="29"/>
  <c r="B19" i="29"/>
  <c r="B36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S13" i="29"/>
  <c r="R13" i="29"/>
  <c r="P13" i="29"/>
  <c r="O13" i="29"/>
  <c r="N13" i="29"/>
  <c r="L13" i="29"/>
  <c r="K13" i="29"/>
  <c r="J13" i="29"/>
  <c r="H13" i="29"/>
  <c r="G13" i="29"/>
  <c r="F13" i="29"/>
  <c r="D13" i="29"/>
  <c r="C13" i="29"/>
  <c r="B13" i="29"/>
  <c r="S12" i="29"/>
  <c r="R12" i="29"/>
  <c r="P12" i="29"/>
  <c r="O12" i="29"/>
  <c r="N12" i="29"/>
  <c r="L12" i="29"/>
  <c r="K12" i="29"/>
  <c r="J12" i="29"/>
  <c r="H12" i="29"/>
  <c r="G12" i="29"/>
  <c r="F12" i="29"/>
  <c r="D12" i="29"/>
  <c r="C12" i="29"/>
  <c r="B12" i="29"/>
  <c r="Q11" i="29"/>
  <c r="Q13" i="29"/>
  <c r="M11" i="29"/>
  <c r="M13" i="29"/>
  <c r="I11" i="29"/>
  <c r="I13" i="29"/>
  <c r="E11" i="29"/>
  <c r="E13" i="29"/>
  <c r="T10" i="29"/>
  <c r="S10" i="29"/>
  <c r="R10" i="29"/>
  <c r="Q10" i="29"/>
  <c r="P10" i="29"/>
  <c r="O10" i="29"/>
  <c r="N10" i="29"/>
  <c r="L10" i="29"/>
  <c r="K10" i="29"/>
  <c r="J10" i="29"/>
  <c r="H10" i="29"/>
  <c r="G10" i="29"/>
  <c r="F10" i="29"/>
  <c r="D10" i="29"/>
  <c r="C10" i="29"/>
  <c r="B10" i="29"/>
  <c r="T9" i="29"/>
  <c r="Q9" i="29"/>
  <c r="M9" i="29"/>
  <c r="M10" i="29"/>
  <c r="I9" i="29"/>
  <c r="I10" i="29"/>
  <c r="E9" i="29"/>
  <c r="E10" i="29"/>
  <c r="Y8" i="29"/>
  <c r="AC8" i="29"/>
  <c r="X8" i="29"/>
  <c r="AB8" i="29"/>
  <c r="W8" i="29"/>
  <c r="AA8" i="29"/>
  <c r="V8" i="29"/>
  <c r="Z8" i="29"/>
  <c r="Q8" i="29"/>
  <c r="M8" i="29"/>
  <c r="I8" i="29"/>
  <c r="E8" i="29"/>
  <c r="S7" i="29"/>
  <c r="R7" i="29"/>
  <c r="P7" i="29"/>
  <c r="O7" i="29"/>
  <c r="N7" i="29"/>
  <c r="L7" i="29"/>
  <c r="K7" i="29"/>
  <c r="J7" i="29"/>
  <c r="H7" i="29"/>
  <c r="G7" i="29"/>
  <c r="F7" i="29"/>
  <c r="D7" i="29"/>
  <c r="C7" i="29"/>
  <c r="B7" i="29"/>
  <c r="S6" i="29"/>
  <c r="R6" i="29"/>
  <c r="P6" i="29"/>
  <c r="O6" i="29"/>
  <c r="N6" i="29"/>
  <c r="L6" i="29"/>
  <c r="K6" i="29"/>
  <c r="J6" i="29"/>
  <c r="H6" i="29"/>
  <c r="G6" i="29"/>
  <c r="F6" i="29"/>
  <c r="D6" i="29"/>
  <c r="C6" i="29"/>
  <c r="B6" i="29"/>
  <c r="Q5" i="29"/>
  <c r="Q7" i="29"/>
  <c r="M5" i="29"/>
  <c r="M7" i="29"/>
  <c r="I5" i="29"/>
  <c r="I7" i="29"/>
  <c r="E5" i="29"/>
  <c r="E7" i="29"/>
  <c r="AC4" i="29"/>
  <c r="AB4" i="29"/>
  <c r="AC10" i="29" s="1"/>
  <c r="AC9" i="29" s="1"/>
  <c r="AC11" i="29" s="1"/>
  <c r="AC13" i="29" s="1"/>
  <c r="AA4" i="29"/>
  <c r="AB10" i="29" s="1"/>
  <c r="AB9" i="29" s="1"/>
  <c r="Z4" i="29"/>
  <c r="AA10" i="29" s="1"/>
  <c r="Y4" i="29"/>
  <c r="X4" i="29"/>
  <c r="Y10" i="29"/>
  <c r="Y9" i="29" s="1"/>
  <c r="W4" i="29"/>
  <c r="X10" i="29" s="1"/>
  <c r="V4" i="29"/>
  <c r="W10" i="29" s="1"/>
  <c r="W9" i="29" s="1"/>
  <c r="W11" i="29" s="1"/>
  <c r="W13" i="29" s="1"/>
  <c r="U4" i="29"/>
  <c r="V10" i="29" s="1"/>
  <c r="V9" i="29" s="1"/>
  <c r="T4" i="29"/>
  <c r="S4" i="29"/>
  <c r="R4" i="29"/>
  <c r="Q4" i="29"/>
  <c r="P4" i="29"/>
  <c r="O4" i="29"/>
  <c r="N4" i="29"/>
  <c r="L4" i="29"/>
  <c r="K4" i="29"/>
  <c r="J4" i="29"/>
  <c r="H4" i="29"/>
  <c r="G4" i="29"/>
  <c r="F4" i="29"/>
  <c r="D4" i="29"/>
  <c r="C4" i="29"/>
  <c r="B4" i="29"/>
  <c r="U3" i="29"/>
  <c r="Q3" i="29"/>
  <c r="M3" i="29"/>
  <c r="M4" i="29"/>
  <c r="I3" i="29"/>
  <c r="I4" i="29"/>
  <c r="E3" i="29"/>
  <c r="E4" i="29"/>
  <c r="Y2" i="29"/>
  <c r="AC2" i="29"/>
  <c r="X2" i="29"/>
  <c r="X19" i="29"/>
  <c r="W2" i="29"/>
  <c r="AA2" i="29"/>
  <c r="V2" i="29"/>
  <c r="Z2" i="29"/>
  <c r="Q2" i="29"/>
  <c r="M2" i="29"/>
  <c r="M19" i="29"/>
  <c r="I2" i="29"/>
  <c r="I19" i="29"/>
  <c r="E2" i="29"/>
  <c r="E19" i="29"/>
  <c r="M15" i="24"/>
  <c r="L15" i="24"/>
  <c r="K15" i="24"/>
  <c r="J15" i="24"/>
  <c r="I15" i="24"/>
  <c r="H15" i="24"/>
  <c r="G15" i="24"/>
  <c r="F15" i="24"/>
  <c r="E15" i="24"/>
  <c r="D15" i="24"/>
  <c r="C15" i="24"/>
  <c r="B15" i="24"/>
  <c r="J3" i="24"/>
  <c r="J4" i="24"/>
  <c r="G3" i="24"/>
  <c r="H3" i="24"/>
  <c r="F3" i="24"/>
  <c r="B3" i="24"/>
  <c r="AC36" i="26"/>
  <c r="AB36" i="26"/>
  <c r="AA36" i="26"/>
  <c r="AA34" i="26"/>
  <c r="Z36" i="26"/>
  <c r="AC34" i="26"/>
  <c r="AB34" i="26"/>
  <c r="Z34" i="26"/>
  <c r="AC34" i="10"/>
  <c r="AB34" i="10"/>
  <c r="AA34" i="10"/>
  <c r="AA41" i="10"/>
  <c r="Z34" i="10"/>
  <c r="AC36" i="10"/>
  <c r="AB36" i="10"/>
  <c r="AA36" i="10"/>
  <c r="Z36" i="10"/>
  <c r="AC27" i="26"/>
  <c r="AB27" i="26"/>
  <c r="AA27" i="26"/>
  <c r="Z27" i="26"/>
  <c r="AC2" i="26"/>
  <c r="AB2" i="26"/>
  <c r="AA2" i="26"/>
  <c r="Z2" i="26"/>
  <c r="Y2" i="10"/>
  <c r="X2" i="10"/>
  <c r="W2" i="10"/>
  <c r="V2" i="10"/>
  <c r="AC21" i="26"/>
  <c r="AB21" i="26"/>
  <c r="AA21" i="26"/>
  <c r="Z21" i="26"/>
  <c r="AC27" i="10"/>
  <c r="AB27" i="10"/>
  <c r="AA27" i="10"/>
  <c r="AA29" i="10"/>
  <c r="Z27" i="10"/>
  <c r="AC21" i="10"/>
  <c r="AB21" i="10"/>
  <c r="AA21" i="10"/>
  <c r="Z21" i="10"/>
  <c r="W12" i="26"/>
  <c r="V12" i="26"/>
  <c r="W6" i="26"/>
  <c r="V6" i="26"/>
  <c r="W25" i="26"/>
  <c r="V25" i="26"/>
  <c r="D23" i="25"/>
  <c r="C23" i="25"/>
  <c r="B23" i="25"/>
  <c r="D22" i="25"/>
  <c r="C22" i="25"/>
  <c r="B22" i="25"/>
  <c r="D21" i="25"/>
  <c r="C21" i="25"/>
  <c r="B21" i="25"/>
  <c r="D20" i="25"/>
  <c r="C20" i="25"/>
  <c r="C25" i="25" s="1"/>
  <c r="B20" i="25"/>
  <c r="D17" i="25"/>
  <c r="C17" i="25"/>
  <c r="B17" i="25"/>
  <c r="D16" i="25"/>
  <c r="C16" i="25"/>
  <c r="B16" i="25"/>
  <c r="C18" i="25"/>
  <c r="B18" i="25"/>
  <c r="D10" i="25"/>
  <c r="C10" i="25"/>
  <c r="B10" i="25"/>
  <c r="D8" i="25"/>
  <c r="C8" i="25"/>
  <c r="B8" i="25"/>
  <c r="D7" i="25"/>
  <c r="C7" i="25"/>
  <c r="B7" i="25"/>
  <c r="D6" i="25"/>
  <c r="C6" i="25"/>
  <c r="C12" i="25" s="1"/>
  <c r="B6" i="25"/>
  <c r="D3" i="25"/>
  <c r="C3" i="25"/>
  <c r="B3" i="25"/>
  <c r="D2" i="25"/>
  <c r="D9" i="25" s="1"/>
  <c r="C2" i="25"/>
  <c r="C9" i="25"/>
  <c r="B2" i="25"/>
  <c r="B9" i="25" s="1"/>
  <c r="T48" i="28"/>
  <c r="U48" i="28"/>
  <c r="V48" i="28"/>
  <c r="W48" i="28"/>
  <c r="X48" i="28"/>
  <c r="Y48" i="28"/>
  <c r="Z48" i="28"/>
  <c r="AA48" i="28"/>
  <c r="AB48" i="28"/>
  <c r="AC48" i="28"/>
  <c r="T45" i="28"/>
  <c r="U45" i="28"/>
  <c r="V45" i="28"/>
  <c r="W45" i="28"/>
  <c r="X45" i="28"/>
  <c r="Y45" i="28"/>
  <c r="Z45" i="28"/>
  <c r="AA45" i="28"/>
  <c r="AB45" i="28"/>
  <c r="AC45" i="28"/>
  <c r="T44" i="28"/>
  <c r="U44" i="28"/>
  <c r="V44" i="28"/>
  <c r="W44" i="28"/>
  <c r="X44" i="28"/>
  <c r="Y44" i="28"/>
  <c r="Z44" i="28"/>
  <c r="AA44" i="28"/>
  <c r="AB44" i="28"/>
  <c r="AC44" i="28"/>
  <c r="V43" i="28"/>
  <c r="W43" i="28"/>
  <c r="X43" i="28"/>
  <c r="Y43" i="28"/>
  <c r="Z43" i="28"/>
  <c r="AA43" i="28"/>
  <c r="AB43" i="28"/>
  <c r="AC43" i="28"/>
  <c r="T43" i="28"/>
  <c r="U43" i="28"/>
  <c r="T42" i="28"/>
  <c r="U42" i="28"/>
  <c r="V42" i="28"/>
  <c r="W42" i="28"/>
  <c r="X42" i="28"/>
  <c r="Y42" i="28"/>
  <c r="Z42" i="28"/>
  <c r="AA42" i="28"/>
  <c r="AB42" i="28"/>
  <c r="AC42" i="28"/>
  <c r="V41" i="28"/>
  <c r="W41" i="28"/>
  <c r="X41" i="28"/>
  <c r="Y41" i="28"/>
  <c r="Z41" i="28"/>
  <c r="AA41" i="28"/>
  <c r="AB41" i="28"/>
  <c r="AC41" i="28"/>
  <c r="T41" i="28"/>
  <c r="U41" i="28"/>
  <c r="T40" i="28"/>
  <c r="T37" i="28"/>
  <c r="T36" i="28"/>
  <c r="X35" i="28"/>
  <c r="Y35" i="28"/>
  <c r="Z35" i="28"/>
  <c r="AA35" i="28"/>
  <c r="AB35" i="28"/>
  <c r="AC35" i="28"/>
  <c r="T35" i="28"/>
  <c r="U35" i="28"/>
  <c r="V35" i="28"/>
  <c r="W35" i="28"/>
  <c r="T34" i="28"/>
  <c r="U34" i="28"/>
  <c r="T32" i="28"/>
  <c r="Y29" i="28"/>
  <c r="U28" i="28"/>
  <c r="T28" i="28"/>
  <c r="U27" i="28"/>
  <c r="T27" i="28"/>
  <c r="U22" i="28"/>
  <c r="T22" i="28"/>
  <c r="U21" i="28"/>
  <c r="T21" i="28"/>
  <c r="U20" i="28"/>
  <c r="T20" i="28"/>
  <c r="U19" i="28"/>
  <c r="T19" i="28"/>
  <c r="U17" i="28"/>
  <c r="V17" i="28"/>
  <c r="W17" i="28"/>
  <c r="X17" i="28"/>
  <c r="Y17" i="28"/>
  <c r="Z17" i="28"/>
  <c r="AA17" i="28"/>
  <c r="AB17" i="28"/>
  <c r="AC17" i="28"/>
  <c r="T17" i="28"/>
  <c r="W16" i="28"/>
  <c r="X16" i="28"/>
  <c r="Y16" i="28"/>
  <c r="Z16" i="28"/>
  <c r="AA16" i="28"/>
  <c r="AB16" i="28"/>
  <c r="AC16" i="28"/>
  <c r="U16" i="28"/>
  <c r="V16" i="28"/>
  <c r="T16" i="28"/>
  <c r="U12" i="28"/>
  <c r="V12" i="28"/>
  <c r="W12" i="28"/>
  <c r="T12" i="28"/>
  <c r="U8" i="28"/>
  <c r="T8" i="28"/>
  <c r="U7" i="28"/>
  <c r="T7" i="28"/>
  <c r="T6" i="28"/>
  <c r="U6" i="28"/>
  <c r="U5" i="28"/>
  <c r="T5" i="28"/>
  <c r="S58" i="27"/>
  <c r="R58" i="27"/>
  <c r="Q58" i="27"/>
  <c r="P58" i="27"/>
  <c r="O58" i="27"/>
  <c r="N58" i="27"/>
  <c r="Q59" i="27"/>
  <c r="M58" i="27"/>
  <c r="L58" i="27"/>
  <c r="K58" i="27"/>
  <c r="J58" i="27"/>
  <c r="I58" i="27"/>
  <c r="H58" i="27"/>
  <c r="G58" i="27"/>
  <c r="F58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T56" i="27"/>
  <c r="T5" i="27"/>
  <c r="T27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2" i="27"/>
  <c r="T51" i="27"/>
  <c r="S51" i="27"/>
  <c r="Q51" i="27"/>
  <c r="O51" i="27"/>
  <c r="M51" i="27"/>
  <c r="K51" i="27"/>
  <c r="I51" i="27"/>
  <c r="G51" i="27"/>
  <c r="F51" i="27"/>
  <c r="X48" i="27"/>
  <c r="T48" i="27"/>
  <c r="U45" i="27"/>
  <c r="Y45" i="27"/>
  <c r="AC42" i="27"/>
  <c r="AB42" i="27"/>
  <c r="AB48" i="27"/>
  <c r="AA42" i="27"/>
  <c r="AA48" i="27"/>
  <c r="Z42" i="27"/>
  <c r="Z48" i="27"/>
  <c r="Y42" i="27"/>
  <c r="X42" i="27"/>
  <c r="W42" i="27"/>
  <c r="W48" i="27"/>
  <c r="V42" i="27"/>
  <c r="V48" i="27"/>
  <c r="U42" i="27"/>
  <c r="U48" i="27"/>
  <c r="T42" i="27"/>
  <c r="T39" i="27"/>
  <c r="W36" i="27"/>
  <c r="V36" i="27"/>
  <c r="U36" i="27"/>
  <c r="U39" i="27"/>
  <c r="T36" i="27"/>
  <c r="Y31" i="27"/>
  <c r="X31" i="27"/>
  <c r="W31" i="27"/>
  <c r="W39" i="27"/>
  <c r="V31" i="27"/>
  <c r="V39" i="27"/>
  <c r="U31" i="27"/>
  <c r="T31" i="27"/>
  <c r="U25" i="27"/>
  <c r="T25" i="27"/>
  <c r="U24" i="27"/>
  <c r="T24" i="27"/>
  <c r="U21" i="27"/>
  <c r="T21" i="27"/>
  <c r="T19" i="27"/>
  <c r="U18" i="27"/>
  <c r="T18" i="27"/>
  <c r="T4" i="27"/>
  <c r="Y63" i="26"/>
  <c r="X63" i="26"/>
  <c r="W63" i="26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C63" i="26"/>
  <c r="B63" i="26"/>
  <c r="Y62" i="26"/>
  <c r="X62" i="26"/>
  <c r="W62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C62" i="26"/>
  <c r="B62" i="26"/>
  <c r="Y61" i="26"/>
  <c r="X61" i="26"/>
  <c r="W61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C61" i="26"/>
  <c r="B61" i="26"/>
  <c r="S57" i="26"/>
  <c r="S54" i="27"/>
  <c r="R57" i="26"/>
  <c r="R54" i="27"/>
  <c r="P57" i="26"/>
  <c r="P54" i="27"/>
  <c r="O57" i="26"/>
  <c r="O54" i="27"/>
  <c r="N57" i="26"/>
  <c r="N54" i="27"/>
  <c r="L57" i="26"/>
  <c r="L54" i="27"/>
  <c r="K57" i="26"/>
  <c r="K54" i="27"/>
  <c r="J57" i="26"/>
  <c r="J54" i="27"/>
  <c r="H57" i="26"/>
  <c r="H54" i="27"/>
  <c r="G57" i="26"/>
  <c r="G54" i="27"/>
  <c r="F57" i="26"/>
  <c r="F54" i="27"/>
  <c r="D57" i="26"/>
  <c r="D54" i="27"/>
  <c r="C57" i="26"/>
  <c r="B57" i="26"/>
  <c r="T55" i="26"/>
  <c r="U55" i="26"/>
  <c r="V55" i="26"/>
  <c r="W55" i="26"/>
  <c r="X55" i="26"/>
  <c r="Y55" i="26"/>
  <c r="Z55" i="26"/>
  <c r="AA55" i="26"/>
  <c r="AB55" i="26"/>
  <c r="AC55" i="26"/>
  <c r="Q55" i="26"/>
  <c r="M55" i="26"/>
  <c r="I55" i="26"/>
  <c r="E55" i="26"/>
  <c r="AC53" i="26"/>
  <c r="Y53" i="26"/>
  <c r="U53" i="26"/>
  <c r="Q53" i="26"/>
  <c r="M53" i="26"/>
  <c r="I53" i="26"/>
  <c r="E53" i="26"/>
  <c r="AC52" i="26"/>
  <c r="Y52" i="26"/>
  <c r="U52" i="26"/>
  <c r="Q52" i="26"/>
  <c r="M52" i="26"/>
  <c r="I52" i="26"/>
  <c r="E52" i="26"/>
  <c r="S50" i="26"/>
  <c r="R50" i="26"/>
  <c r="P50" i="26"/>
  <c r="O50" i="26"/>
  <c r="N50" i="26"/>
  <c r="L50" i="26"/>
  <c r="K50" i="26"/>
  <c r="J50" i="26"/>
  <c r="H50" i="26"/>
  <c r="G50" i="26"/>
  <c r="F50" i="26"/>
  <c r="D50" i="26"/>
  <c r="C50" i="26"/>
  <c r="B50" i="26"/>
  <c r="V49" i="26"/>
  <c r="W49" i="26"/>
  <c r="X49" i="26"/>
  <c r="Y49" i="26"/>
  <c r="AA49" i="26"/>
  <c r="AB49" i="26"/>
  <c r="AC49" i="26"/>
  <c r="T49" i="26"/>
  <c r="U49" i="26"/>
  <c r="S49" i="26"/>
  <c r="R49" i="26"/>
  <c r="P49" i="26"/>
  <c r="O49" i="26"/>
  <c r="N49" i="26"/>
  <c r="L49" i="26"/>
  <c r="K49" i="26"/>
  <c r="J49" i="26"/>
  <c r="H49" i="26"/>
  <c r="G49" i="26"/>
  <c r="F49" i="26"/>
  <c r="D49" i="26"/>
  <c r="C49" i="26"/>
  <c r="B49" i="26"/>
  <c r="Q48" i="26"/>
  <c r="Q50" i="26"/>
  <c r="M48" i="26"/>
  <c r="I48" i="26"/>
  <c r="I50" i="26"/>
  <c r="E48" i="26"/>
  <c r="E50" i="26"/>
  <c r="M47" i="26"/>
  <c r="I47" i="26"/>
  <c r="Q46" i="26"/>
  <c r="M46" i="26"/>
  <c r="I46" i="26"/>
  <c r="E46" i="26"/>
  <c r="E47" i="26"/>
  <c r="Q45" i="26"/>
  <c r="M45" i="26"/>
  <c r="I45" i="26"/>
  <c r="E45" i="26"/>
  <c r="U44" i="26"/>
  <c r="Y44" i="26"/>
  <c r="AC44" i="26"/>
  <c r="Y43" i="26"/>
  <c r="U43" i="26"/>
  <c r="S41" i="26"/>
  <c r="O41" i="26"/>
  <c r="K41" i="26"/>
  <c r="G41" i="26"/>
  <c r="D41" i="26"/>
  <c r="C41" i="26"/>
  <c r="S40" i="26"/>
  <c r="R40" i="26"/>
  <c r="P40" i="26"/>
  <c r="O40" i="26"/>
  <c r="N40" i="26"/>
  <c r="M40" i="26"/>
  <c r="L40" i="26"/>
  <c r="K40" i="26"/>
  <c r="J40" i="26"/>
  <c r="H40" i="26"/>
  <c r="G40" i="26"/>
  <c r="F40" i="26"/>
  <c r="E40" i="26"/>
  <c r="D40" i="26"/>
  <c r="C40" i="26"/>
  <c r="B40" i="26"/>
  <c r="W39" i="26"/>
  <c r="AA39" i="26"/>
  <c r="V39" i="26"/>
  <c r="T39" i="26"/>
  <c r="T41" i="26"/>
  <c r="Q39" i="26"/>
  <c r="M39" i="26"/>
  <c r="I39" i="26"/>
  <c r="I41" i="26"/>
  <c r="E39" i="26"/>
  <c r="E38" i="26"/>
  <c r="Q37" i="26"/>
  <c r="P34" i="26"/>
  <c r="M37" i="26"/>
  <c r="L34" i="26"/>
  <c r="I37" i="26"/>
  <c r="H34" i="26"/>
  <c r="E37" i="26"/>
  <c r="S36" i="26"/>
  <c r="K36" i="26"/>
  <c r="C36" i="26"/>
  <c r="Y34" i="26"/>
  <c r="X34" i="26"/>
  <c r="W34" i="26"/>
  <c r="S34" i="26"/>
  <c r="S38" i="26"/>
  <c r="R34" i="26"/>
  <c r="R38" i="26"/>
  <c r="Q34" i="26"/>
  <c r="O34" i="26"/>
  <c r="O38" i="26"/>
  <c r="N34" i="26"/>
  <c r="N38" i="26"/>
  <c r="M34" i="26"/>
  <c r="K34" i="26"/>
  <c r="K38" i="26"/>
  <c r="J34" i="26"/>
  <c r="J38" i="26"/>
  <c r="I34" i="26"/>
  <c r="G34" i="26"/>
  <c r="G38" i="26"/>
  <c r="F34" i="26"/>
  <c r="F38" i="26"/>
  <c r="E34" i="26"/>
  <c r="D34" i="26"/>
  <c r="D38" i="26"/>
  <c r="C34" i="26"/>
  <c r="C38" i="26"/>
  <c r="B34" i="26"/>
  <c r="B38" i="26"/>
  <c r="S33" i="26"/>
  <c r="K33" i="26"/>
  <c r="C33" i="26"/>
  <c r="B33" i="26"/>
  <c r="S32" i="26"/>
  <c r="R32" i="26"/>
  <c r="P32" i="26"/>
  <c r="O32" i="26"/>
  <c r="N32" i="26"/>
  <c r="M32" i="26"/>
  <c r="L32" i="26"/>
  <c r="K32" i="26"/>
  <c r="J32" i="26"/>
  <c r="H32" i="26"/>
  <c r="G32" i="26"/>
  <c r="F32" i="26"/>
  <c r="D32" i="26"/>
  <c r="C32" i="26"/>
  <c r="B32" i="26"/>
  <c r="X31" i="26"/>
  <c r="X32" i="26"/>
  <c r="U31" i="26"/>
  <c r="U32" i="26"/>
  <c r="T31" i="26"/>
  <c r="T32" i="26"/>
  <c r="Q31" i="26"/>
  <c r="M31" i="26"/>
  <c r="I31" i="26"/>
  <c r="E31" i="26"/>
  <c r="S30" i="26"/>
  <c r="K30" i="26"/>
  <c r="C30" i="26"/>
  <c r="B30" i="26"/>
  <c r="X29" i="26"/>
  <c r="U29" i="26"/>
  <c r="T29" i="26"/>
  <c r="Q29" i="26"/>
  <c r="M29" i="26"/>
  <c r="I29" i="26"/>
  <c r="E29" i="26"/>
  <c r="E32" i="26"/>
  <c r="U28" i="26"/>
  <c r="R28" i="26"/>
  <c r="N28" i="26"/>
  <c r="J28" i="26"/>
  <c r="Y27" i="26"/>
  <c r="X27" i="26"/>
  <c r="V27" i="26"/>
  <c r="S27" i="26"/>
  <c r="R27" i="26"/>
  <c r="R33" i="26"/>
  <c r="P27" i="26"/>
  <c r="P33" i="26"/>
  <c r="O27" i="26"/>
  <c r="N27" i="26"/>
  <c r="N33" i="26"/>
  <c r="L27" i="26"/>
  <c r="L33" i="26"/>
  <c r="K27" i="26"/>
  <c r="J27" i="26"/>
  <c r="J33" i="26"/>
  <c r="H27" i="26"/>
  <c r="H33" i="26"/>
  <c r="G27" i="26"/>
  <c r="G36" i="26"/>
  <c r="F27" i="26"/>
  <c r="F33" i="26"/>
  <c r="D27" i="26"/>
  <c r="D36" i="26"/>
  <c r="C27" i="26"/>
  <c r="S26" i="26"/>
  <c r="R26" i="26"/>
  <c r="Q26" i="26"/>
  <c r="P26" i="26"/>
  <c r="O26" i="26"/>
  <c r="N26" i="26"/>
  <c r="L26" i="26"/>
  <c r="K26" i="26"/>
  <c r="J26" i="26"/>
  <c r="H26" i="26"/>
  <c r="D26" i="26"/>
  <c r="C26" i="26"/>
  <c r="T25" i="26"/>
  <c r="S25" i="26"/>
  <c r="R25" i="26"/>
  <c r="P25" i="26"/>
  <c r="O25" i="26"/>
  <c r="N25" i="26"/>
  <c r="L25" i="26"/>
  <c r="K25" i="26"/>
  <c r="J25" i="26"/>
  <c r="H25" i="26"/>
  <c r="G25" i="26"/>
  <c r="F25" i="26"/>
  <c r="D25" i="26"/>
  <c r="C25" i="26"/>
  <c r="B25" i="26"/>
  <c r="Q24" i="26"/>
  <c r="Q57" i="26"/>
  <c r="Q54" i="27"/>
  <c r="M24" i="26"/>
  <c r="M57" i="26"/>
  <c r="M54" i="27"/>
  <c r="I24" i="26"/>
  <c r="I57" i="26"/>
  <c r="I54" i="27"/>
  <c r="E24" i="26"/>
  <c r="AC23" i="26"/>
  <c r="AC70" i="26" s="1"/>
  <c r="AB23" i="26"/>
  <c r="AB22" i="26" s="1"/>
  <c r="AA23" i="26"/>
  <c r="Z23" i="26"/>
  <c r="Y23" i="26"/>
  <c r="Y70" i="26" s="1"/>
  <c r="X23" i="26"/>
  <c r="X70" i="26" s="1"/>
  <c r="W23" i="26"/>
  <c r="W70" i="26" s="1"/>
  <c r="V23" i="26"/>
  <c r="V70" i="26" s="1"/>
  <c r="U23" i="26"/>
  <c r="U70" i="26" s="1"/>
  <c r="T23" i="26"/>
  <c r="T70" i="26" s="1"/>
  <c r="S23" i="26"/>
  <c r="R23" i="26"/>
  <c r="P23" i="26"/>
  <c r="O23" i="26"/>
  <c r="N23" i="26"/>
  <c r="K23" i="26"/>
  <c r="J23" i="26"/>
  <c r="H23" i="26"/>
  <c r="G23" i="26"/>
  <c r="F23" i="26"/>
  <c r="D23" i="26"/>
  <c r="C23" i="26"/>
  <c r="B23" i="26"/>
  <c r="Q22" i="26"/>
  <c r="Q25" i="26"/>
  <c r="M22" i="26"/>
  <c r="M23" i="26"/>
  <c r="M70" i="26"/>
  <c r="I22" i="26"/>
  <c r="E22" i="26"/>
  <c r="X21" i="26"/>
  <c r="X22" i="26"/>
  <c r="V21" i="26"/>
  <c r="U21" i="26"/>
  <c r="T21" i="26"/>
  <c r="Q21" i="26"/>
  <c r="M21" i="26"/>
  <c r="L21" i="26"/>
  <c r="L23" i="26"/>
  <c r="I21" i="26"/>
  <c r="G21" i="26"/>
  <c r="G26" i="26"/>
  <c r="F21" i="26"/>
  <c r="F26" i="26"/>
  <c r="B21" i="26"/>
  <c r="V19" i="26"/>
  <c r="U19" i="26"/>
  <c r="U36" i="26"/>
  <c r="T19" i="26"/>
  <c r="T36" i="26"/>
  <c r="S19" i="26"/>
  <c r="R19" i="26"/>
  <c r="P19" i="26"/>
  <c r="O19" i="26"/>
  <c r="N19" i="26"/>
  <c r="L19" i="26"/>
  <c r="K19" i="26"/>
  <c r="J19" i="26"/>
  <c r="H19" i="26"/>
  <c r="G19" i="26"/>
  <c r="F19" i="26"/>
  <c r="D19" i="26"/>
  <c r="C19" i="26"/>
  <c r="B19" i="26"/>
  <c r="S18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S13" i="26"/>
  <c r="R13" i="26"/>
  <c r="P13" i="26"/>
  <c r="O13" i="26"/>
  <c r="N13" i="26"/>
  <c r="L13" i="26"/>
  <c r="K13" i="26"/>
  <c r="J13" i="26"/>
  <c r="H13" i="26"/>
  <c r="G13" i="26"/>
  <c r="F13" i="26"/>
  <c r="D13" i="26"/>
  <c r="C13" i="26"/>
  <c r="B13" i="26"/>
  <c r="S12" i="26"/>
  <c r="R12" i="26"/>
  <c r="P12" i="26"/>
  <c r="O12" i="26"/>
  <c r="N12" i="26"/>
  <c r="L12" i="26"/>
  <c r="K12" i="26"/>
  <c r="J12" i="26"/>
  <c r="H12" i="26"/>
  <c r="G12" i="26"/>
  <c r="F12" i="26"/>
  <c r="D12" i="26"/>
  <c r="C12" i="26"/>
  <c r="B12" i="26"/>
  <c r="Q11" i="26"/>
  <c r="M11" i="26"/>
  <c r="I11" i="26"/>
  <c r="I13" i="26"/>
  <c r="E11" i="26"/>
  <c r="S10" i="26"/>
  <c r="R10" i="26"/>
  <c r="P10" i="26"/>
  <c r="O10" i="26"/>
  <c r="N10" i="26"/>
  <c r="L10" i="26"/>
  <c r="K10" i="26"/>
  <c r="J10" i="26"/>
  <c r="H10" i="26"/>
  <c r="G10" i="26"/>
  <c r="F10" i="26"/>
  <c r="D10" i="26"/>
  <c r="C10" i="26"/>
  <c r="B10" i="26"/>
  <c r="Q9" i="26"/>
  <c r="Q12" i="26"/>
  <c r="M9" i="26"/>
  <c r="I9" i="26"/>
  <c r="I10" i="26"/>
  <c r="E9" i="26"/>
  <c r="E10" i="26"/>
  <c r="Y8" i="26"/>
  <c r="AC8" i="26"/>
  <c r="X8" i="26"/>
  <c r="W8" i="26"/>
  <c r="AA8" i="26"/>
  <c r="V8" i="26"/>
  <c r="Z8" i="26"/>
  <c r="Z19" i="26"/>
  <c r="Q8" i="26"/>
  <c r="Q13" i="26"/>
  <c r="M8" i="26"/>
  <c r="I8" i="26"/>
  <c r="E8" i="26"/>
  <c r="S7" i="26"/>
  <c r="R7" i="26"/>
  <c r="P7" i="26"/>
  <c r="O7" i="26"/>
  <c r="N7" i="26"/>
  <c r="L7" i="26"/>
  <c r="K7" i="26"/>
  <c r="J7" i="26"/>
  <c r="H7" i="26"/>
  <c r="G7" i="26"/>
  <c r="F7" i="26"/>
  <c r="D7" i="26"/>
  <c r="C7" i="26"/>
  <c r="B7" i="26"/>
  <c r="T6" i="26"/>
  <c r="S6" i="26"/>
  <c r="R6" i="26"/>
  <c r="P6" i="26"/>
  <c r="O6" i="26"/>
  <c r="N6" i="26"/>
  <c r="L6" i="26"/>
  <c r="K6" i="26"/>
  <c r="J6" i="26"/>
  <c r="H6" i="26"/>
  <c r="G6" i="26"/>
  <c r="F6" i="26"/>
  <c r="D6" i="26"/>
  <c r="C6" i="26"/>
  <c r="B6" i="26"/>
  <c r="Q5" i="26"/>
  <c r="M5" i="26"/>
  <c r="I5" i="26"/>
  <c r="I7" i="26"/>
  <c r="E5" i="26"/>
  <c r="AC4" i="26"/>
  <c r="AB4" i="26"/>
  <c r="AC10" i="26" s="1"/>
  <c r="AC9" i="26" s="1"/>
  <c r="AC11" i="26" s="1"/>
  <c r="AC13" i="26" s="1"/>
  <c r="AA4" i="26"/>
  <c r="AB10" i="26" s="1"/>
  <c r="AB9" i="26" s="1"/>
  <c r="AB11" i="26" s="1"/>
  <c r="AB13" i="26" s="1"/>
  <c r="Z4" i="26"/>
  <c r="AA10" i="26" s="1"/>
  <c r="AA9" i="26" s="1"/>
  <c r="AA11" i="26" s="1"/>
  <c r="AA13" i="26" s="1"/>
  <c r="Y4" i="26"/>
  <c r="Z10" i="26" s="1"/>
  <c r="Z9" i="26" s="1"/>
  <c r="Z11" i="26" s="1"/>
  <c r="Z13" i="26" s="1"/>
  <c r="X4" i="26"/>
  <c r="Y10" i="26" s="1"/>
  <c r="Y9" i="26" s="1"/>
  <c r="W4" i="26"/>
  <c r="V4" i="26"/>
  <c r="W10" i="26" s="1"/>
  <c r="W9" i="26" s="1"/>
  <c r="W11" i="26" s="1"/>
  <c r="U4" i="26"/>
  <c r="U3" i="26" s="1"/>
  <c r="U5" i="26" s="1"/>
  <c r="U7" i="26" s="1"/>
  <c r="T4" i="26"/>
  <c r="U10" i="26" s="1"/>
  <c r="U9" i="26" s="1"/>
  <c r="U11" i="26" s="1"/>
  <c r="U13" i="26" s="1"/>
  <c r="S4" i="26"/>
  <c r="T10" i="26"/>
  <c r="T9" i="26"/>
  <c r="R4" i="26"/>
  <c r="P4" i="26"/>
  <c r="O4" i="26"/>
  <c r="N4" i="26"/>
  <c r="L4" i="26"/>
  <c r="K4" i="26"/>
  <c r="J4" i="26"/>
  <c r="H4" i="26"/>
  <c r="G4" i="26"/>
  <c r="F4" i="26"/>
  <c r="D4" i="26"/>
  <c r="C4" i="26"/>
  <c r="B4" i="26"/>
  <c r="Q3" i="26"/>
  <c r="Q6" i="26"/>
  <c r="M3" i="26"/>
  <c r="M4" i="26"/>
  <c r="I3" i="26"/>
  <c r="I4" i="26"/>
  <c r="E3" i="26"/>
  <c r="E4" i="26"/>
  <c r="Y2" i="26"/>
  <c r="X2" i="26"/>
  <c r="W2" i="26"/>
  <c r="W19" i="26"/>
  <c r="V2" i="26"/>
  <c r="Q2" i="26"/>
  <c r="Q7" i="26"/>
  <c r="M2" i="26"/>
  <c r="I2" i="26"/>
  <c r="I19" i="26"/>
  <c r="E2" i="26"/>
  <c r="E19" i="26"/>
  <c r="N13" i="25" a="1"/>
  <c r="B4" i="25"/>
  <c r="N7" i="9"/>
  <c r="O28" i="9"/>
  <c r="N6" i="9"/>
  <c r="N5" i="9"/>
  <c r="O16" i="9"/>
  <c r="N4" i="9"/>
  <c r="O25" i="9"/>
  <c r="N3" i="9"/>
  <c r="O30" i="9"/>
  <c r="AC43" i="10"/>
  <c r="N2" i="9"/>
  <c r="M58" i="13"/>
  <c r="L58" i="13"/>
  <c r="K58" i="13"/>
  <c r="J58" i="13"/>
  <c r="I58" i="13"/>
  <c r="H58" i="13"/>
  <c r="G58" i="13"/>
  <c r="F58" i="13"/>
  <c r="C4" i="25"/>
  <c r="Q58" i="13"/>
  <c r="P58" i="13"/>
  <c r="O58" i="13"/>
  <c r="N58" i="13"/>
  <c r="Q59" i="13"/>
  <c r="S58" i="13"/>
  <c r="R58" i="13"/>
  <c r="Y29" i="15"/>
  <c r="Z10" i="24"/>
  <c r="Y10" i="24"/>
  <c r="X10" i="24"/>
  <c r="W10" i="24"/>
  <c r="V10" i="24"/>
  <c r="U10" i="24"/>
  <c r="T10" i="24"/>
  <c r="S10" i="24"/>
  <c r="R10" i="24"/>
  <c r="Q10" i="24"/>
  <c r="F11" i="24"/>
  <c r="E11" i="24"/>
  <c r="D11" i="24"/>
  <c r="C11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C8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B8" i="24"/>
  <c r="G4" i="24"/>
  <c r="F4" i="24"/>
  <c r="B4" i="24"/>
  <c r="E3" i="24"/>
  <c r="E4" i="24"/>
  <c r="D3" i="24"/>
  <c r="D4" i="24"/>
  <c r="C3" i="24"/>
  <c r="C4" i="24"/>
  <c r="X6" i="15"/>
  <c r="W6" i="15"/>
  <c r="V6" i="15"/>
  <c r="W19" i="13"/>
  <c r="U6" i="15"/>
  <c r="U19" i="13"/>
  <c r="T6" i="15"/>
  <c r="V5" i="15"/>
  <c r="V18" i="13"/>
  <c r="U5" i="15"/>
  <c r="T5" i="15"/>
  <c r="U12" i="15"/>
  <c r="V12" i="15"/>
  <c r="T12" i="15"/>
  <c r="T36" i="13"/>
  <c r="T39" i="13"/>
  <c r="U36" i="13"/>
  <c r="Y31" i="13"/>
  <c r="X31" i="13"/>
  <c r="W31" i="13"/>
  <c r="V31" i="13"/>
  <c r="U31" i="13"/>
  <c r="T31" i="13"/>
  <c r="T8" i="15"/>
  <c r="V7" i="15"/>
  <c r="U7" i="15"/>
  <c r="T7" i="15"/>
  <c r="T51" i="13"/>
  <c r="U42" i="13"/>
  <c r="T42" i="13"/>
  <c r="T48" i="13"/>
  <c r="AC25" i="13"/>
  <c r="AB25" i="13"/>
  <c r="AA25" i="13"/>
  <c r="Z25" i="13"/>
  <c r="Y25" i="13"/>
  <c r="X25" i="13"/>
  <c r="W25" i="13"/>
  <c r="V25" i="13"/>
  <c r="U25" i="13"/>
  <c r="T25" i="13"/>
  <c r="AC24" i="13"/>
  <c r="AB24" i="13"/>
  <c r="AA24" i="13"/>
  <c r="Z24" i="13"/>
  <c r="Y24" i="13"/>
  <c r="X24" i="13"/>
  <c r="W24" i="13"/>
  <c r="V24" i="13"/>
  <c r="U24" i="13"/>
  <c r="T24" i="13"/>
  <c r="T19" i="13"/>
  <c r="U18" i="13"/>
  <c r="T18" i="13"/>
  <c r="T28" i="15"/>
  <c r="U27" i="15"/>
  <c r="T27" i="15"/>
  <c r="T45" i="15"/>
  <c r="U45" i="15"/>
  <c r="V45" i="15"/>
  <c r="W45" i="15"/>
  <c r="X45" i="15"/>
  <c r="Y45" i="15"/>
  <c r="Z45" i="15"/>
  <c r="AA45" i="15"/>
  <c r="AB45" i="15"/>
  <c r="AC45" i="15"/>
  <c r="U44" i="15"/>
  <c r="V44" i="15"/>
  <c r="W44" i="15"/>
  <c r="X44" i="15"/>
  <c r="Y44" i="15"/>
  <c r="Z44" i="15"/>
  <c r="AA44" i="15"/>
  <c r="AB44" i="15"/>
  <c r="AC44" i="15"/>
  <c r="T44" i="15"/>
  <c r="T43" i="15"/>
  <c r="U43" i="15"/>
  <c r="V43" i="15"/>
  <c r="W43" i="15"/>
  <c r="X43" i="15"/>
  <c r="Y43" i="15"/>
  <c r="Z43" i="15"/>
  <c r="AA43" i="15"/>
  <c r="AB43" i="15"/>
  <c r="AC43" i="15"/>
  <c r="T41" i="15"/>
  <c r="U41" i="15"/>
  <c r="V41" i="15"/>
  <c r="W41" i="15"/>
  <c r="X41" i="15"/>
  <c r="Y41" i="15"/>
  <c r="Z41" i="15"/>
  <c r="AA41" i="15"/>
  <c r="AB41" i="15"/>
  <c r="AC41" i="15"/>
  <c r="U42" i="15"/>
  <c r="V42" i="15"/>
  <c r="W42" i="15"/>
  <c r="X42" i="15"/>
  <c r="Y42" i="15"/>
  <c r="Z42" i="15"/>
  <c r="AA42" i="15"/>
  <c r="AB42" i="15"/>
  <c r="AC42" i="15"/>
  <c r="T42" i="15"/>
  <c r="U40" i="15"/>
  <c r="T40" i="15"/>
  <c r="V48" i="15"/>
  <c r="W48" i="15"/>
  <c r="U48" i="15"/>
  <c r="T48" i="15"/>
  <c r="T38" i="15"/>
  <c r="T32" i="15"/>
  <c r="V37" i="15"/>
  <c r="U37" i="15"/>
  <c r="U36" i="15"/>
  <c r="V35" i="15"/>
  <c r="W35" i="15"/>
  <c r="X35" i="15"/>
  <c r="Y35" i="15"/>
  <c r="Z35" i="15"/>
  <c r="AA35" i="15"/>
  <c r="AB35" i="15"/>
  <c r="AC35" i="15"/>
  <c r="U35" i="15"/>
  <c r="T37" i="15"/>
  <c r="T36" i="15"/>
  <c r="T35" i="15"/>
  <c r="T34" i="15"/>
  <c r="U34" i="15"/>
  <c r="U38" i="15"/>
  <c r="T56" i="13"/>
  <c r="T5" i="13"/>
  <c r="T4" i="13"/>
  <c r="T15" i="15"/>
  <c r="U22" i="15"/>
  <c r="V22" i="15"/>
  <c r="T22" i="15"/>
  <c r="T21" i="15"/>
  <c r="U21" i="15"/>
  <c r="T20" i="15"/>
  <c r="T19" i="15"/>
  <c r="T16" i="15"/>
  <c r="U16" i="15"/>
  <c r="V16" i="15"/>
  <c r="W16" i="15"/>
  <c r="X16" i="15"/>
  <c r="Y16" i="15"/>
  <c r="Z16" i="15"/>
  <c r="AA16" i="15"/>
  <c r="AB16" i="15"/>
  <c r="AC16" i="15"/>
  <c r="T17" i="15"/>
  <c r="U4" i="13"/>
  <c r="V55" i="10"/>
  <c r="W55" i="10"/>
  <c r="X55" i="10"/>
  <c r="Y55" i="10"/>
  <c r="Z55" i="10"/>
  <c r="AA55" i="10"/>
  <c r="AB55" i="10"/>
  <c r="AC55" i="10"/>
  <c r="U55" i="10"/>
  <c r="T55" i="10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U45" i="13"/>
  <c r="O26" i="9"/>
  <c r="AC53" i="10"/>
  <c r="AC52" i="10"/>
  <c r="AA49" i="10"/>
  <c r="AB49" i="10"/>
  <c r="AC49" i="10"/>
  <c r="Z49" i="10"/>
  <c r="AC44" i="10"/>
  <c r="AC39" i="10"/>
  <c r="AC41" i="10"/>
  <c r="AB39" i="10"/>
  <c r="AB41" i="10"/>
  <c r="AA39" i="10"/>
  <c r="Z39" i="10"/>
  <c r="Z41" i="10"/>
  <c r="AC38" i="10"/>
  <c r="AB38" i="10"/>
  <c r="AA38" i="10"/>
  <c r="Z38" i="10"/>
  <c r="AC37" i="10"/>
  <c r="AB37" i="10"/>
  <c r="Z37" i="10"/>
  <c r="Z40" i="10"/>
  <c r="AC31" i="10"/>
  <c r="AC32" i="10"/>
  <c r="AB31" i="10"/>
  <c r="Z31" i="10"/>
  <c r="Z25" i="10"/>
  <c r="AA25" i="10"/>
  <c r="Z23" i="10"/>
  <c r="Z70" i="10" s="1"/>
  <c r="Z12" i="10"/>
  <c r="AA12" i="10"/>
  <c r="AC8" i="10"/>
  <c r="AB8" i="10"/>
  <c r="AA8" i="10"/>
  <c r="Z8" i="10"/>
  <c r="Z6" i="10"/>
  <c r="AA6" i="10"/>
  <c r="AC2" i="10"/>
  <c r="AC19" i="10"/>
  <c r="AB2" i="10"/>
  <c r="AB19" i="10"/>
  <c r="Z2" i="10"/>
  <c r="Z19" i="10"/>
  <c r="U25" i="10"/>
  <c r="T25" i="10"/>
  <c r="Y41" i="10"/>
  <c r="X41" i="10"/>
  <c r="W41" i="10"/>
  <c r="V41" i="10"/>
  <c r="U41" i="10"/>
  <c r="T41" i="10"/>
  <c r="Y40" i="10"/>
  <c r="X40" i="10"/>
  <c r="W40" i="10"/>
  <c r="V40" i="10"/>
  <c r="U40" i="10"/>
  <c r="T40" i="10"/>
  <c r="X39" i="10"/>
  <c r="W39" i="10"/>
  <c r="V39" i="10"/>
  <c r="U39" i="10"/>
  <c r="Y39" i="10"/>
  <c r="T39" i="10"/>
  <c r="Y37" i="10"/>
  <c r="X37" i="10"/>
  <c r="W37" i="10"/>
  <c r="V37" i="10"/>
  <c r="U37" i="10"/>
  <c r="T37" i="10"/>
  <c r="X38" i="10"/>
  <c r="W38" i="10"/>
  <c r="V38" i="10"/>
  <c r="U38" i="10"/>
  <c r="Y38" i="10"/>
  <c r="T38" i="10"/>
  <c r="Y36" i="10"/>
  <c r="U36" i="10"/>
  <c r="T36" i="10"/>
  <c r="Y34" i="10"/>
  <c r="X34" i="10"/>
  <c r="W34" i="10"/>
  <c r="V34" i="10"/>
  <c r="Y27" i="10"/>
  <c r="X27" i="10"/>
  <c r="W27" i="10"/>
  <c r="V27" i="10"/>
  <c r="Y21" i="10"/>
  <c r="X21" i="10"/>
  <c r="W21" i="10"/>
  <c r="V21" i="10"/>
  <c r="U21" i="10"/>
  <c r="T21" i="10"/>
  <c r="Y19" i="10"/>
  <c r="X19" i="10"/>
  <c r="X36" i="10"/>
  <c r="V19" i="10"/>
  <c r="V36" i="10"/>
  <c r="U19" i="10"/>
  <c r="T19" i="10"/>
  <c r="T13" i="10"/>
  <c r="T11" i="10"/>
  <c r="U12" i="10"/>
  <c r="T12" i="10"/>
  <c r="Y8" i="10"/>
  <c r="X8" i="10"/>
  <c r="W8" i="10"/>
  <c r="V8" i="10"/>
  <c r="U6" i="10"/>
  <c r="T6" i="10"/>
  <c r="U49" i="10"/>
  <c r="V49" i="10"/>
  <c r="W49" i="10"/>
  <c r="X49" i="10"/>
  <c r="Y49" i="10"/>
  <c r="T49" i="10"/>
  <c r="U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44" i="10"/>
  <c r="U44" i="10"/>
  <c r="Y63" i="10"/>
  <c r="X63" i="10"/>
  <c r="W63" i="10"/>
  <c r="V63" i="10"/>
  <c r="X69" i="10" s="1"/>
  <c r="U63" i="10"/>
  <c r="T63" i="10"/>
  <c r="S63" i="10"/>
  <c r="R63" i="10"/>
  <c r="R69" i="10" s="1"/>
  <c r="Q63" i="10"/>
  <c r="P63" i="10"/>
  <c r="O63" i="10"/>
  <c r="N63" i="10"/>
  <c r="N69" i="10" s="1"/>
  <c r="M63" i="10"/>
  <c r="L63" i="10"/>
  <c r="K63" i="10"/>
  <c r="J63" i="10"/>
  <c r="J69" i="10" s="1"/>
  <c r="I63" i="10"/>
  <c r="H63" i="10"/>
  <c r="G63" i="10"/>
  <c r="F63" i="10"/>
  <c r="F69" i="10" s="1"/>
  <c r="E63" i="10"/>
  <c r="D63" i="10"/>
  <c r="C63" i="10"/>
  <c r="B63" i="10"/>
  <c r="B69" i="10" s="1"/>
  <c r="Y23" i="10"/>
  <c r="Y70" i="10" s="1"/>
  <c r="X23" i="10"/>
  <c r="X70" i="10" s="1"/>
  <c r="W23" i="10"/>
  <c r="V23" i="10"/>
  <c r="V70" i="10" s="1"/>
  <c r="U23" i="10"/>
  <c r="T23" i="10"/>
  <c r="T22" i="10" s="1"/>
  <c r="T24" i="10" s="1"/>
  <c r="U56" i="13"/>
  <c r="U5" i="13"/>
  <c r="Y6" i="15"/>
  <c r="X19" i="13"/>
  <c r="V19" i="13"/>
  <c r="W5" i="15"/>
  <c r="U48" i="13"/>
  <c r="W12" i="15"/>
  <c r="W36" i="13"/>
  <c r="W39" i="13"/>
  <c r="V36" i="13"/>
  <c r="V39" i="13"/>
  <c r="U39" i="13"/>
  <c r="U8" i="15"/>
  <c r="T21" i="13"/>
  <c r="V8" i="15"/>
  <c r="U21" i="13"/>
  <c r="Y7" i="15"/>
  <c r="W7" i="15"/>
  <c r="X7" i="15"/>
  <c r="V27" i="15"/>
  <c r="U28" i="15"/>
  <c r="T27" i="13"/>
  <c r="V40" i="15"/>
  <c r="X48" i="15"/>
  <c r="W36" i="15"/>
  <c r="X36" i="15"/>
  <c r="W37" i="15"/>
  <c r="V36" i="15"/>
  <c r="V34" i="15"/>
  <c r="V38" i="15"/>
  <c r="U19" i="15"/>
  <c r="V19" i="15"/>
  <c r="U20" i="15"/>
  <c r="V21" i="15"/>
  <c r="W21" i="15"/>
  <c r="W22" i="15"/>
  <c r="Y45" i="13"/>
  <c r="O24" i="9"/>
  <c r="AA23" i="10"/>
  <c r="AA22" i="10" s="1"/>
  <c r="AA24" i="10" s="1"/>
  <c r="AA4" i="10"/>
  <c r="AB10" i="10" s="1"/>
  <c r="AB9" i="10" s="1"/>
  <c r="AB11" i="10" s="1"/>
  <c r="AB13" i="10" s="1"/>
  <c r="Z4" i="10"/>
  <c r="AA10" i="10" s="1"/>
  <c r="AA9" i="10" s="1"/>
  <c r="Z29" i="10"/>
  <c r="AB6" i="10"/>
  <c r="AB12" i="10"/>
  <c r="AB25" i="10"/>
  <c r="AB29" i="10"/>
  <c r="AB32" i="10"/>
  <c r="AB40" i="10"/>
  <c r="AC6" i="10"/>
  <c r="AC25" i="10"/>
  <c r="AC29" i="10"/>
  <c r="AC40" i="10"/>
  <c r="W25" i="10"/>
  <c r="V25" i="10"/>
  <c r="U22" i="10"/>
  <c r="U24" i="10" s="1"/>
  <c r="Y12" i="10"/>
  <c r="V12" i="10"/>
  <c r="W12" i="10"/>
  <c r="X12" i="10"/>
  <c r="V6" i="10"/>
  <c r="Y22" i="10"/>
  <c r="Y24" i="10" s="1"/>
  <c r="V56" i="13"/>
  <c r="V5" i="13"/>
  <c r="V27" i="13"/>
  <c r="U27" i="13"/>
  <c r="V42" i="13"/>
  <c r="V48" i="13"/>
  <c r="Z19" i="13"/>
  <c r="Z6" i="15"/>
  <c r="Y19" i="13"/>
  <c r="X5" i="15"/>
  <c r="X18" i="13"/>
  <c r="W18" i="13"/>
  <c r="X12" i="15"/>
  <c r="X36" i="13"/>
  <c r="X39" i="13"/>
  <c r="W21" i="13"/>
  <c r="X8" i="15"/>
  <c r="Y8" i="15"/>
  <c r="Z8" i="15"/>
  <c r="W8" i="15"/>
  <c r="V21" i="13"/>
  <c r="Z7" i="15"/>
  <c r="W28" i="15"/>
  <c r="V28" i="15"/>
  <c r="V32" i="15"/>
  <c r="W27" i="15"/>
  <c r="U32" i="15"/>
  <c r="W40" i="15"/>
  <c r="Y48" i="15"/>
  <c r="X37" i="15"/>
  <c r="Y36" i="15"/>
  <c r="AA36" i="15"/>
  <c r="AB36" i="15"/>
  <c r="Z36" i="15"/>
  <c r="AC36" i="15"/>
  <c r="W34" i="15"/>
  <c r="W38" i="15"/>
  <c r="W19" i="15"/>
  <c r="X19" i="15"/>
  <c r="X21" i="15"/>
  <c r="Y22" i="15"/>
  <c r="Z22" i="15"/>
  <c r="V20" i="15"/>
  <c r="W20" i="15"/>
  <c r="X22" i="15"/>
  <c r="AC45" i="13"/>
  <c r="AC23" i="10"/>
  <c r="AC22" i="10" s="1"/>
  <c r="AC24" i="10" s="1"/>
  <c r="AB23" i="10"/>
  <c r="AC4" i="10"/>
  <c r="AC3" i="10"/>
  <c r="AC5" i="10" s="1"/>
  <c r="AC7" i="10" s="1"/>
  <c r="AB4" i="10"/>
  <c r="AC10" i="10" s="1"/>
  <c r="AC12" i="10"/>
  <c r="X25" i="10"/>
  <c r="Y25" i="10"/>
  <c r="W6" i="10"/>
  <c r="W42" i="13"/>
  <c r="W48" i="13"/>
  <c r="W56" i="13"/>
  <c r="W5" i="13"/>
  <c r="W27" i="13"/>
  <c r="AA6" i="15"/>
  <c r="AA19" i="13"/>
  <c r="Y5" i="15"/>
  <c r="Y12" i="15"/>
  <c r="Y36" i="13"/>
  <c r="Y39" i="13"/>
  <c r="AA8" i="15"/>
  <c r="X21" i="13"/>
  <c r="Z21" i="13"/>
  <c r="Y21" i="13"/>
  <c r="AA7" i="15"/>
  <c r="Y28" i="15"/>
  <c r="W32" i="15"/>
  <c r="X28" i="15"/>
  <c r="X27" i="15"/>
  <c r="X40" i="15"/>
  <c r="Z48" i="15"/>
  <c r="Y37" i="15"/>
  <c r="X34" i="15"/>
  <c r="X38" i="15"/>
  <c r="Z19" i="15"/>
  <c r="AA19" i="15"/>
  <c r="Y19" i="15"/>
  <c r="AA22" i="15"/>
  <c r="Y20" i="15"/>
  <c r="Z20" i="15"/>
  <c r="AA20" i="15"/>
  <c r="X20" i="15"/>
  <c r="Y21" i="15"/>
  <c r="Z21" i="15"/>
  <c r="AA21" i="15"/>
  <c r="AC70" i="10"/>
  <c r="AC9" i="10"/>
  <c r="AB3" i="10"/>
  <c r="AB5" i="10"/>
  <c r="AB7" i="10" s="1"/>
  <c r="Y6" i="10"/>
  <c r="X6" i="10"/>
  <c r="X56" i="13"/>
  <c r="X5" i="13"/>
  <c r="X27" i="13"/>
  <c r="X42" i="13"/>
  <c r="X48" i="13"/>
  <c r="AB6" i="15"/>
  <c r="AB19" i="13"/>
  <c r="AA5" i="15"/>
  <c r="Z5" i="15"/>
  <c r="Z18" i="13"/>
  <c r="AB5" i="15"/>
  <c r="Y18" i="13"/>
  <c r="Z12" i="15"/>
  <c r="Z36" i="13"/>
  <c r="Z39" i="13"/>
  <c r="AB21" i="13"/>
  <c r="AB8" i="15"/>
  <c r="AA21" i="13"/>
  <c r="AB7" i="15"/>
  <c r="AB28" i="15"/>
  <c r="Z28" i="15"/>
  <c r="X32" i="15"/>
  <c r="Z27" i="15"/>
  <c r="Y27" i="15"/>
  <c r="AA28" i="15"/>
  <c r="AC28" i="15"/>
  <c r="Y40" i="15"/>
  <c r="AA48" i="15"/>
  <c r="AC37" i="15"/>
  <c r="AB37" i="15"/>
  <c r="Z37" i="15"/>
  <c r="AA37" i="15"/>
  <c r="Y34" i="15"/>
  <c r="Y38" i="15"/>
  <c r="AB20" i="15"/>
  <c r="AC20" i="15"/>
  <c r="AB19" i="15"/>
  <c r="AC19" i="15"/>
  <c r="AB21" i="15"/>
  <c r="AB22" i="15"/>
  <c r="AC22" i="15"/>
  <c r="Y56" i="13"/>
  <c r="Y5" i="13"/>
  <c r="Y27" i="13"/>
  <c r="Z32" i="15"/>
  <c r="Y42" i="13"/>
  <c r="Y48" i="13"/>
  <c r="AC6" i="15"/>
  <c r="AC19" i="13"/>
  <c r="AC18" i="13"/>
  <c r="AB18" i="13"/>
  <c r="AC5" i="15"/>
  <c r="AA18" i="13"/>
  <c r="AA36" i="13"/>
  <c r="AA39" i="13"/>
  <c r="AA12" i="15"/>
  <c r="AC8" i="15"/>
  <c r="AC21" i="13"/>
  <c r="AC7" i="15"/>
  <c r="AA27" i="15"/>
  <c r="AB27" i="15"/>
  <c r="Y32" i="15"/>
  <c r="Z40" i="15"/>
  <c r="AB48" i="15"/>
  <c r="Z34" i="15"/>
  <c r="AC21" i="15"/>
  <c r="AA34" i="15"/>
  <c r="Z38" i="15"/>
  <c r="AA32" i="15"/>
  <c r="Z42" i="13"/>
  <c r="Z48" i="13"/>
  <c r="Z56" i="13"/>
  <c r="Z5" i="13"/>
  <c r="Z27" i="13"/>
  <c r="AB12" i="15"/>
  <c r="AB36" i="13"/>
  <c r="AB39" i="13"/>
  <c r="AC27" i="15"/>
  <c r="AA40" i="15"/>
  <c r="AC48" i="15"/>
  <c r="AB34" i="15"/>
  <c r="AB56" i="13"/>
  <c r="AB5" i="13"/>
  <c r="AB27" i="13"/>
  <c r="AA38" i="15"/>
  <c r="AA56" i="13"/>
  <c r="AA5" i="13"/>
  <c r="AA27" i="13"/>
  <c r="AA42" i="13"/>
  <c r="AA48" i="13"/>
  <c r="AC12" i="15"/>
  <c r="AC36" i="13"/>
  <c r="AC39" i="13"/>
  <c r="AB40" i="15"/>
  <c r="AC34" i="15"/>
  <c r="AC38" i="15"/>
  <c r="AB38" i="15"/>
  <c r="AB42" i="13"/>
  <c r="AB48" i="13"/>
  <c r="AB32" i="15"/>
  <c r="AC40" i="15"/>
  <c r="AC42" i="13"/>
  <c r="AC48" i="13"/>
  <c r="AC56" i="13"/>
  <c r="AC5" i="13"/>
  <c r="AC27" i="13"/>
  <c r="AC32" i="15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Y4" i="11"/>
  <c r="X4" i="11"/>
  <c r="W4" i="11"/>
  <c r="V4" i="11"/>
  <c r="U4" i="11"/>
  <c r="T4" i="11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Y4" i="10"/>
  <c r="Z10" i="10" s="1"/>
  <c r="Z9" i="10" s="1"/>
  <c r="Z11" i="10" s="1"/>
  <c r="Z13" i="10" s="1"/>
  <c r="X4" i="10"/>
  <c r="W4" i="10"/>
  <c r="W3" i="10" s="1"/>
  <c r="V4" i="10"/>
  <c r="V3" i="10" s="1"/>
  <c r="V5" i="10" s="1"/>
  <c r="U4" i="10"/>
  <c r="U3" i="10" s="1"/>
  <c r="T4" i="10"/>
  <c r="T3" i="10" s="1"/>
  <c r="Q54" i="13"/>
  <c r="S54" i="13"/>
  <c r="M51" i="13"/>
  <c r="K51" i="13"/>
  <c r="F52" i="13"/>
  <c r="F51" i="13"/>
  <c r="I51" i="13"/>
  <c r="G51" i="13"/>
  <c r="Q51" i="13"/>
  <c r="S51" i="13"/>
  <c r="O51" i="13"/>
  <c r="Y31" i="10"/>
  <c r="Y32" i="10"/>
  <c r="X31" i="10"/>
  <c r="W31" i="10"/>
  <c r="W32" i="10"/>
  <c r="V31" i="10"/>
  <c r="U31" i="10"/>
  <c r="U32" i="10"/>
  <c r="T31" i="10"/>
  <c r="Y29" i="10"/>
  <c r="X29" i="10"/>
  <c r="W29" i="10"/>
  <c r="V29" i="10"/>
  <c r="V32" i="10"/>
  <c r="U29" i="10"/>
  <c r="T29" i="10"/>
  <c r="T32" i="10"/>
  <c r="N28" i="9"/>
  <c r="N27" i="9"/>
  <c r="N26" i="9"/>
  <c r="N25" i="9"/>
  <c r="N30" i="9"/>
  <c r="Y43" i="10"/>
  <c r="AH30" i="6"/>
  <c r="AH29" i="6"/>
  <c r="U28" i="10"/>
  <c r="T28" i="10"/>
  <c r="S57" i="11"/>
  <c r="R57" i="11"/>
  <c r="P57" i="11"/>
  <c r="O57" i="11"/>
  <c r="N57" i="11"/>
  <c r="L57" i="11"/>
  <c r="K57" i="11"/>
  <c r="J57" i="11"/>
  <c r="H57" i="11"/>
  <c r="G57" i="11"/>
  <c r="F57" i="11"/>
  <c r="D57" i="11"/>
  <c r="C57" i="11"/>
  <c r="B57" i="11"/>
  <c r="Y55" i="11"/>
  <c r="Q55" i="11"/>
  <c r="T55" i="11"/>
  <c r="U55" i="11"/>
  <c r="M55" i="11"/>
  <c r="I55" i="11"/>
  <c r="E55" i="11"/>
  <c r="Y53" i="11"/>
  <c r="U53" i="11"/>
  <c r="Q53" i="11"/>
  <c r="M53" i="11"/>
  <c r="I53" i="11"/>
  <c r="E53" i="11"/>
  <c r="Y52" i="11"/>
  <c r="U52" i="11"/>
  <c r="Q52" i="11"/>
  <c r="M52" i="11"/>
  <c r="I52" i="11"/>
  <c r="E52" i="11"/>
  <c r="S50" i="11"/>
  <c r="R50" i="11"/>
  <c r="P50" i="11"/>
  <c r="O50" i="11"/>
  <c r="N50" i="11"/>
  <c r="L50" i="11"/>
  <c r="K50" i="11"/>
  <c r="J50" i="11"/>
  <c r="H50" i="11"/>
  <c r="G50" i="11"/>
  <c r="F50" i="11"/>
  <c r="D50" i="11"/>
  <c r="C50" i="11"/>
  <c r="B50" i="11"/>
  <c r="S49" i="11"/>
  <c r="R49" i="11"/>
  <c r="P49" i="11"/>
  <c r="O49" i="11"/>
  <c r="N49" i="11"/>
  <c r="L49" i="11"/>
  <c r="K49" i="11"/>
  <c r="J49" i="11"/>
  <c r="H49" i="11"/>
  <c r="G49" i="11"/>
  <c r="F49" i="11"/>
  <c r="D49" i="11"/>
  <c r="C49" i="11"/>
  <c r="B49" i="11"/>
  <c r="Q48" i="11"/>
  <c r="Q50" i="11"/>
  <c r="M48" i="11"/>
  <c r="M50" i="11"/>
  <c r="I48" i="11"/>
  <c r="I50" i="11"/>
  <c r="E48" i="11"/>
  <c r="Y47" i="11"/>
  <c r="Q46" i="11"/>
  <c r="Q47" i="11"/>
  <c r="M46" i="11"/>
  <c r="M47" i="11"/>
  <c r="I46" i="11"/>
  <c r="I47" i="11"/>
  <c r="E46" i="11"/>
  <c r="Q45" i="11"/>
  <c r="M45" i="11"/>
  <c r="I45" i="11"/>
  <c r="E45" i="11"/>
  <c r="S40" i="11"/>
  <c r="R40" i="11"/>
  <c r="P40" i="11"/>
  <c r="O40" i="11"/>
  <c r="N40" i="11"/>
  <c r="L40" i="11"/>
  <c r="K40" i="11"/>
  <c r="J40" i="11"/>
  <c r="H40" i="11"/>
  <c r="G40" i="11"/>
  <c r="F40" i="11"/>
  <c r="D40" i="11"/>
  <c r="C40" i="11"/>
  <c r="B40" i="11"/>
  <c r="Q39" i="11"/>
  <c r="M39" i="11"/>
  <c r="I39" i="11"/>
  <c r="E39" i="11"/>
  <c r="Q37" i="11"/>
  <c r="P34" i="11"/>
  <c r="M37" i="11"/>
  <c r="I37" i="11"/>
  <c r="I40" i="11"/>
  <c r="E37" i="11"/>
  <c r="S34" i="11"/>
  <c r="S38" i="11"/>
  <c r="R34" i="11"/>
  <c r="R38" i="11"/>
  <c r="O34" i="11"/>
  <c r="N34" i="11"/>
  <c r="N41" i="11"/>
  <c r="L34" i="11"/>
  <c r="L36" i="11"/>
  <c r="L41" i="11"/>
  <c r="K34" i="11"/>
  <c r="J34" i="11"/>
  <c r="H34" i="11"/>
  <c r="H41" i="11"/>
  <c r="G34" i="11"/>
  <c r="F34" i="11"/>
  <c r="C34" i="11"/>
  <c r="B34" i="11"/>
  <c r="B36" i="11"/>
  <c r="B38" i="11"/>
  <c r="B33" i="11"/>
  <c r="S32" i="11"/>
  <c r="R32" i="11"/>
  <c r="P32" i="11"/>
  <c r="O32" i="11"/>
  <c r="N32" i="11"/>
  <c r="L32" i="11"/>
  <c r="K32" i="11"/>
  <c r="J32" i="11"/>
  <c r="H32" i="11"/>
  <c r="G32" i="11"/>
  <c r="F32" i="11"/>
  <c r="D32" i="11"/>
  <c r="C32" i="11"/>
  <c r="B32" i="11"/>
  <c r="Q31" i="11"/>
  <c r="Q32" i="11"/>
  <c r="M31" i="11"/>
  <c r="M32" i="11"/>
  <c r="I31" i="11"/>
  <c r="I32" i="11"/>
  <c r="E31" i="11"/>
  <c r="E32" i="11"/>
  <c r="B30" i="11"/>
  <c r="Q29" i="11"/>
  <c r="M29" i="11"/>
  <c r="I29" i="11"/>
  <c r="E29" i="11"/>
  <c r="S27" i="11"/>
  <c r="S28" i="11"/>
  <c r="R27" i="11"/>
  <c r="R28" i="11"/>
  <c r="R33" i="11"/>
  <c r="P27" i="11"/>
  <c r="P28" i="11"/>
  <c r="P33" i="11"/>
  <c r="O27" i="11"/>
  <c r="O33" i="11"/>
  <c r="N27" i="11"/>
  <c r="N33" i="11"/>
  <c r="N28" i="11"/>
  <c r="L27" i="11"/>
  <c r="K27" i="11"/>
  <c r="K28" i="11"/>
  <c r="K33" i="11"/>
  <c r="J27" i="11"/>
  <c r="J28" i="11"/>
  <c r="H27" i="11"/>
  <c r="H28" i="11"/>
  <c r="G27" i="11"/>
  <c r="G33" i="11"/>
  <c r="F27" i="11"/>
  <c r="F33" i="11"/>
  <c r="D27" i="11"/>
  <c r="D33" i="11"/>
  <c r="C27" i="11"/>
  <c r="C28" i="11"/>
  <c r="S26" i="11"/>
  <c r="R26" i="11"/>
  <c r="P26" i="11"/>
  <c r="O26" i="11"/>
  <c r="N26" i="11"/>
  <c r="K26" i="11"/>
  <c r="J26" i="11"/>
  <c r="H26" i="11"/>
  <c r="D26" i="11"/>
  <c r="C26" i="11"/>
  <c r="S25" i="11"/>
  <c r="R25" i="11"/>
  <c r="P25" i="11"/>
  <c r="O25" i="11"/>
  <c r="N25" i="11"/>
  <c r="L25" i="11"/>
  <c r="K25" i="11"/>
  <c r="J25" i="11"/>
  <c r="H25" i="11"/>
  <c r="G25" i="11"/>
  <c r="F25" i="11"/>
  <c r="D25" i="11"/>
  <c r="C25" i="11"/>
  <c r="B25" i="11"/>
  <c r="Q24" i="11"/>
  <c r="M24" i="11"/>
  <c r="I24" i="11"/>
  <c r="I25" i="11"/>
  <c r="E24" i="11"/>
  <c r="S23" i="11"/>
  <c r="R23" i="11"/>
  <c r="P23" i="11"/>
  <c r="O23" i="11"/>
  <c r="N23" i="11"/>
  <c r="K23" i="11"/>
  <c r="J23" i="11"/>
  <c r="H23" i="11"/>
  <c r="D23" i="11"/>
  <c r="C23" i="11"/>
  <c r="Q22" i="11"/>
  <c r="Q23" i="11"/>
  <c r="M22" i="11"/>
  <c r="I22" i="11"/>
  <c r="I23" i="11"/>
  <c r="E22" i="11"/>
  <c r="Q21" i="11"/>
  <c r="Q26" i="11"/>
  <c r="L21" i="11"/>
  <c r="G21" i="11"/>
  <c r="G26" i="11"/>
  <c r="F21" i="11"/>
  <c r="F23" i="11"/>
  <c r="B21" i="11"/>
  <c r="S19" i="11"/>
  <c r="R19" i="11"/>
  <c r="R36" i="11"/>
  <c r="P19" i="11"/>
  <c r="P36" i="11"/>
  <c r="O19" i="11"/>
  <c r="N19" i="11"/>
  <c r="L19" i="11"/>
  <c r="K19" i="11"/>
  <c r="J19" i="11"/>
  <c r="J36" i="11"/>
  <c r="H19" i="11"/>
  <c r="G19" i="11"/>
  <c r="G36" i="11"/>
  <c r="F19" i="11"/>
  <c r="D19" i="11"/>
  <c r="C19" i="11"/>
  <c r="C36" i="11"/>
  <c r="B19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S13" i="11"/>
  <c r="R13" i="11"/>
  <c r="P13" i="11"/>
  <c r="O13" i="11"/>
  <c r="N13" i="11"/>
  <c r="L13" i="11"/>
  <c r="K13" i="11"/>
  <c r="J13" i="11"/>
  <c r="H13" i="11"/>
  <c r="G13" i="11"/>
  <c r="F13" i="11"/>
  <c r="D13" i="11"/>
  <c r="C13" i="11"/>
  <c r="B13" i="11"/>
  <c r="S12" i="11"/>
  <c r="R12" i="11"/>
  <c r="P12" i="11"/>
  <c r="O12" i="11"/>
  <c r="N12" i="11"/>
  <c r="L12" i="11"/>
  <c r="K12" i="11"/>
  <c r="J12" i="11"/>
  <c r="H12" i="11"/>
  <c r="G12" i="11"/>
  <c r="F12" i="11"/>
  <c r="D12" i="11"/>
  <c r="C12" i="11"/>
  <c r="B12" i="11"/>
  <c r="Q11" i="11"/>
  <c r="Q12" i="11"/>
  <c r="M11" i="11"/>
  <c r="I11" i="11"/>
  <c r="E11" i="11"/>
  <c r="E12" i="11"/>
  <c r="S10" i="11"/>
  <c r="R10" i="11"/>
  <c r="P10" i="11"/>
  <c r="O10" i="11"/>
  <c r="N10" i="11"/>
  <c r="L10" i="11"/>
  <c r="K10" i="11"/>
  <c r="J10" i="11"/>
  <c r="H10" i="11"/>
  <c r="G10" i="11"/>
  <c r="F10" i="11"/>
  <c r="D10" i="11"/>
  <c r="C10" i="11"/>
  <c r="B10" i="11"/>
  <c r="Q9" i="11"/>
  <c r="M9" i="11"/>
  <c r="I9" i="11"/>
  <c r="I10" i="11"/>
  <c r="E9" i="11"/>
  <c r="E10" i="11"/>
  <c r="Q8" i="11"/>
  <c r="Q13" i="11"/>
  <c r="M8" i="11"/>
  <c r="M13" i="11"/>
  <c r="I8" i="11"/>
  <c r="I13" i="11"/>
  <c r="E8" i="11"/>
  <c r="S7" i="11"/>
  <c r="R7" i="11"/>
  <c r="P7" i="11"/>
  <c r="O7" i="11"/>
  <c r="N7" i="11"/>
  <c r="L7" i="11"/>
  <c r="K7" i="11"/>
  <c r="J7" i="11"/>
  <c r="H7" i="11"/>
  <c r="G7" i="11"/>
  <c r="F7" i="11"/>
  <c r="D7" i="11"/>
  <c r="C7" i="11"/>
  <c r="B7" i="11"/>
  <c r="S6" i="11"/>
  <c r="R6" i="11"/>
  <c r="P6" i="11"/>
  <c r="O6" i="11"/>
  <c r="N6" i="11"/>
  <c r="L6" i="11"/>
  <c r="K6" i="11"/>
  <c r="J6" i="11"/>
  <c r="H6" i="11"/>
  <c r="G6" i="11"/>
  <c r="F6" i="11"/>
  <c r="D6" i="11"/>
  <c r="C6" i="11"/>
  <c r="B6" i="11"/>
  <c r="Q5" i="11"/>
  <c r="Q57" i="11"/>
  <c r="M5" i="11"/>
  <c r="I5" i="11"/>
  <c r="I6" i="11"/>
  <c r="E5" i="11"/>
  <c r="S4" i="11"/>
  <c r="R4" i="11"/>
  <c r="P4" i="11"/>
  <c r="O4" i="11"/>
  <c r="N4" i="11"/>
  <c r="L4" i="11"/>
  <c r="K4" i="11"/>
  <c r="J4" i="11"/>
  <c r="H4" i="11"/>
  <c r="G4" i="11"/>
  <c r="F4" i="11"/>
  <c r="D4" i="11"/>
  <c r="C4" i="11"/>
  <c r="B4" i="11"/>
  <c r="Q3" i="11"/>
  <c r="Q6" i="11"/>
  <c r="M3" i="11"/>
  <c r="I3" i="11"/>
  <c r="E3" i="11"/>
  <c r="Q2" i="11"/>
  <c r="Q7" i="11"/>
  <c r="Q19" i="11"/>
  <c r="M2" i="11"/>
  <c r="M19" i="11"/>
  <c r="I2" i="11"/>
  <c r="I19" i="11"/>
  <c r="E2" i="11"/>
  <c r="E19" i="11"/>
  <c r="I49" i="11"/>
  <c r="H33" i="11"/>
  <c r="F38" i="11"/>
  <c r="N38" i="11"/>
  <c r="J41" i="11"/>
  <c r="I21" i="11"/>
  <c r="I26" i="11"/>
  <c r="E27" i="11"/>
  <c r="M27" i="11"/>
  <c r="G28" i="11"/>
  <c r="C38" i="11"/>
  <c r="G38" i="11"/>
  <c r="K38" i="11"/>
  <c r="E40" i="11"/>
  <c r="M40" i="11"/>
  <c r="C41" i="11"/>
  <c r="G41" i="11"/>
  <c r="K41" i="11"/>
  <c r="P30" i="11"/>
  <c r="J38" i="11"/>
  <c r="B41" i="11"/>
  <c r="F41" i="11"/>
  <c r="R41" i="11"/>
  <c r="M25" i="11"/>
  <c r="D28" i="11"/>
  <c r="L28" i="11"/>
  <c r="J30" i="11"/>
  <c r="N30" i="11"/>
  <c r="R30" i="11"/>
  <c r="N36" i="11"/>
  <c r="D30" i="11"/>
  <c r="L30" i="11"/>
  <c r="L33" i="11"/>
  <c r="G23" i="11"/>
  <c r="G30" i="11"/>
  <c r="K30" i="11"/>
  <c r="S30" i="11"/>
  <c r="I34" i="11"/>
  <c r="I38" i="11"/>
  <c r="M34" i="11"/>
  <c r="L34" i="9"/>
  <c r="I37" i="9"/>
  <c r="I40" i="9"/>
  <c r="K34" i="9"/>
  <c r="J34" i="9"/>
  <c r="I34" i="9"/>
  <c r="H34" i="9"/>
  <c r="M8" i="9"/>
  <c r="L8" i="9"/>
  <c r="L39" i="9"/>
  <c r="K8" i="9"/>
  <c r="J8" i="9"/>
  <c r="J39" i="9"/>
  <c r="I8" i="9"/>
  <c r="I39" i="9"/>
  <c r="H8" i="9"/>
  <c r="G8" i="9"/>
  <c r="K39" i="9"/>
  <c r="L37" i="9"/>
  <c r="K37" i="9"/>
  <c r="K40" i="9"/>
  <c r="J37" i="9"/>
  <c r="J40" i="9"/>
  <c r="Q45" i="10"/>
  <c r="M45" i="10"/>
  <c r="I45" i="10"/>
  <c r="E45" i="10"/>
  <c r="Q48" i="10"/>
  <c r="Q8" i="10"/>
  <c r="Q19" i="10"/>
  <c r="Q55" i="10"/>
  <c r="Q53" i="10"/>
  <c r="Q52" i="10"/>
  <c r="O57" i="10"/>
  <c r="O54" i="13"/>
  <c r="S57" i="10"/>
  <c r="R57" i="10"/>
  <c r="P57" i="10"/>
  <c r="P54" i="13"/>
  <c r="L57" i="10"/>
  <c r="L54" i="13"/>
  <c r="K57" i="10"/>
  <c r="K54" i="13"/>
  <c r="J57" i="10"/>
  <c r="J54" i="13"/>
  <c r="H57" i="10"/>
  <c r="H54" i="13"/>
  <c r="G57" i="10"/>
  <c r="G54" i="13"/>
  <c r="F57" i="10"/>
  <c r="F54" i="13"/>
  <c r="D57" i="10"/>
  <c r="E58" i="10"/>
  <c r="C57" i="10"/>
  <c r="B57" i="10"/>
  <c r="N57" i="10"/>
  <c r="Q58" i="10"/>
  <c r="M55" i="10"/>
  <c r="M53" i="10"/>
  <c r="M52" i="10"/>
  <c r="M30" i="9"/>
  <c r="U43" i="11"/>
  <c r="U47" i="11"/>
  <c r="L30" i="9"/>
  <c r="L35" i="9"/>
  <c r="K30" i="9"/>
  <c r="K35" i="9"/>
  <c r="J30" i="9"/>
  <c r="J35" i="9"/>
  <c r="I30" i="9"/>
  <c r="I35" i="9"/>
  <c r="H30" i="9"/>
  <c r="Q39" i="10"/>
  <c r="Q40" i="10"/>
  <c r="Q37" i="10"/>
  <c r="Q34" i="10"/>
  <c r="Q31" i="10"/>
  <c r="Q32" i="10"/>
  <c r="Q29" i="10"/>
  <c r="Q24" i="10"/>
  <c r="Q26" i="10"/>
  <c r="Q22" i="10"/>
  <c r="Q21" i="10"/>
  <c r="Q23" i="10"/>
  <c r="Y53" i="10"/>
  <c r="Y52" i="10"/>
  <c r="U53" i="10"/>
  <c r="U52" i="10"/>
  <c r="E55" i="10"/>
  <c r="I55" i="10"/>
  <c r="E53" i="10"/>
  <c r="I53" i="10"/>
  <c r="E52" i="10"/>
  <c r="I52" i="10"/>
  <c r="E48" i="10"/>
  <c r="E50" i="10"/>
  <c r="E46" i="10"/>
  <c r="E47" i="10"/>
  <c r="E39" i="10"/>
  <c r="I39" i="10"/>
  <c r="E37" i="10"/>
  <c r="D34" i="10"/>
  <c r="I37" i="10"/>
  <c r="I34" i="10"/>
  <c r="E31" i="10"/>
  <c r="E32" i="10"/>
  <c r="I31" i="10"/>
  <c r="I32" i="10"/>
  <c r="E29" i="10"/>
  <c r="I29" i="10"/>
  <c r="E24" i="10"/>
  <c r="E25" i="10"/>
  <c r="I24" i="10"/>
  <c r="E22" i="10"/>
  <c r="E11" i="10"/>
  <c r="E12" i="10"/>
  <c r="E9" i="10"/>
  <c r="E8" i="10"/>
  <c r="E10" i="10"/>
  <c r="E5" i="10"/>
  <c r="E3" i="10"/>
  <c r="E4" i="10"/>
  <c r="E2" i="10"/>
  <c r="E19" i="10"/>
  <c r="D27" i="10"/>
  <c r="H27" i="10"/>
  <c r="H28" i="10"/>
  <c r="B34" i="10"/>
  <c r="C34" i="10"/>
  <c r="C41" i="10"/>
  <c r="G34" i="10"/>
  <c r="G41" i="10"/>
  <c r="C27" i="10"/>
  <c r="E27" i="10"/>
  <c r="C28" i="10"/>
  <c r="G27" i="10"/>
  <c r="I2" i="10"/>
  <c r="M2" i="10"/>
  <c r="M7" i="10"/>
  <c r="Q2" i="10"/>
  <c r="I3" i="10"/>
  <c r="M3" i="10"/>
  <c r="Q3" i="10"/>
  <c r="B4" i="10"/>
  <c r="C4" i="10"/>
  <c r="D4" i="10"/>
  <c r="F4" i="10"/>
  <c r="G4" i="10"/>
  <c r="H4" i="10"/>
  <c r="J4" i="10"/>
  <c r="K4" i="10"/>
  <c r="L4" i="10"/>
  <c r="N4" i="10"/>
  <c r="O4" i="10"/>
  <c r="P4" i="10"/>
  <c r="R4" i="10"/>
  <c r="S4" i="10"/>
  <c r="T10" i="10"/>
  <c r="T9" i="10"/>
  <c r="I5" i="10"/>
  <c r="I6" i="10"/>
  <c r="I7" i="10"/>
  <c r="M5" i="10"/>
  <c r="M6" i="10"/>
  <c r="Q5" i="10"/>
  <c r="B6" i="10"/>
  <c r="C6" i="10"/>
  <c r="D6" i="10"/>
  <c r="F6" i="10"/>
  <c r="G6" i="10"/>
  <c r="H6" i="10"/>
  <c r="J6" i="10"/>
  <c r="K6" i="10"/>
  <c r="L6" i="10"/>
  <c r="N6" i="10"/>
  <c r="O6" i="10"/>
  <c r="P6" i="10"/>
  <c r="R6" i="10"/>
  <c r="S6" i="10"/>
  <c r="B7" i="10"/>
  <c r="C7" i="10"/>
  <c r="D7" i="10"/>
  <c r="F7" i="10"/>
  <c r="G7" i="10"/>
  <c r="H7" i="10"/>
  <c r="J7" i="10"/>
  <c r="K7" i="10"/>
  <c r="L7" i="10"/>
  <c r="N7" i="10"/>
  <c r="O7" i="10"/>
  <c r="P7" i="10"/>
  <c r="R7" i="10"/>
  <c r="S7" i="10"/>
  <c r="I8" i="10"/>
  <c r="I19" i="10"/>
  <c r="M8" i="10"/>
  <c r="I9" i="10"/>
  <c r="M9" i="10"/>
  <c r="M10" i="10"/>
  <c r="Q9" i="10"/>
  <c r="B10" i="10"/>
  <c r="C10" i="10"/>
  <c r="D10" i="10"/>
  <c r="F10" i="10"/>
  <c r="G10" i="10"/>
  <c r="H10" i="10"/>
  <c r="J10" i="10"/>
  <c r="K10" i="10"/>
  <c r="L10" i="10"/>
  <c r="N10" i="10"/>
  <c r="O10" i="10"/>
  <c r="P10" i="10"/>
  <c r="R10" i="10"/>
  <c r="S10" i="10"/>
  <c r="I11" i="10"/>
  <c r="I12" i="10"/>
  <c r="M11" i="10"/>
  <c r="M13" i="10"/>
  <c r="M12" i="10"/>
  <c r="Q11" i="10"/>
  <c r="Q12" i="10"/>
  <c r="B12" i="10"/>
  <c r="C12" i="10"/>
  <c r="D12" i="10"/>
  <c r="F12" i="10"/>
  <c r="G12" i="10"/>
  <c r="H12" i="10"/>
  <c r="J12" i="10"/>
  <c r="K12" i="10"/>
  <c r="L12" i="10"/>
  <c r="N12" i="10"/>
  <c r="O12" i="10"/>
  <c r="P12" i="10"/>
  <c r="R12" i="10"/>
  <c r="S12" i="10"/>
  <c r="B13" i="10"/>
  <c r="C13" i="10"/>
  <c r="D13" i="10"/>
  <c r="F13" i="10"/>
  <c r="G13" i="10"/>
  <c r="H13" i="10"/>
  <c r="J13" i="10"/>
  <c r="K13" i="10"/>
  <c r="L13" i="10"/>
  <c r="N13" i="10"/>
  <c r="O13" i="10"/>
  <c r="P13" i="10"/>
  <c r="R13" i="10"/>
  <c r="S13" i="10"/>
  <c r="B18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B19" i="10"/>
  <c r="C19" i="10"/>
  <c r="C36" i="10"/>
  <c r="D19" i="10"/>
  <c r="F19" i="10"/>
  <c r="G19" i="10"/>
  <c r="H19" i="10"/>
  <c r="J19" i="10"/>
  <c r="K19" i="10"/>
  <c r="L19" i="10"/>
  <c r="N19" i="10"/>
  <c r="O19" i="10"/>
  <c r="P19" i="10"/>
  <c r="R19" i="10"/>
  <c r="S19" i="10"/>
  <c r="S36" i="10"/>
  <c r="I46" i="10"/>
  <c r="I47" i="10"/>
  <c r="M46" i="10"/>
  <c r="M47" i="10"/>
  <c r="Q46" i="10"/>
  <c r="Q47" i="10"/>
  <c r="I48" i="10"/>
  <c r="I49" i="10"/>
  <c r="I50" i="10"/>
  <c r="M48" i="10"/>
  <c r="M50" i="10"/>
  <c r="Q50" i="10"/>
  <c r="B49" i="10"/>
  <c r="C49" i="10"/>
  <c r="D49" i="10"/>
  <c r="F49" i="10"/>
  <c r="G49" i="10"/>
  <c r="H49" i="10"/>
  <c r="J49" i="10"/>
  <c r="K49" i="10"/>
  <c r="L49" i="10"/>
  <c r="N49" i="10"/>
  <c r="O49" i="10"/>
  <c r="P49" i="10"/>
  <c r="R49" i="10"/>
  <c r="S49" i="10"/>
  <c r="B50" i="10"/>
  <c r="C50" i="10"/>
  <c r="D50" i="10"/>
  <c r="F50" i="10"/>
  <c r="G50" i="10"/>
  <c r="H50" i="10"/>
  <c r="J50" i="10"/>
  <c r="K50" i="10"/>
  <c r="L50" i="10"/>
  <c r="N50" i="10"/>
  <c r="O50" i="10"/>
  <c r="P50" i="10"/>
  <c r="R50" i="10"/>
  <c r="S50" i="10"/>
  <c r="G21" i="10"/>
  <c r="G23" i="10"/>
  <c r="G66" i="10"/>
  <c r="G67" i="10"/>
  <c r="F21" i="10"/>
  <c r="F23" i="10"/>
  <c r="F66" i="10"/>
  <c r="F67" i="10"/>
  <c r="Q4" i="10"/>
  <c r="I4" i="10"/>
  <c r="Q49" i="10"/>
  <c r="I10" i="10"/>
  <c r="B21" i="10"/>
  <c r="B23" i="10"/>
  <c r="B66" i="10"/>
  <c r="B67" i="10"/>
  <c r="I22" i="10"/>
  <c r="I23" i="10"/>
  <c r="M39" i="10"/>
  <c r="M37" i="10"/>
  <c r="M31" i="10"/>
  <c r="M57" i="10"/>
  <c r="M54" i="13"/>
  <c r="M29" i="10"/>
  <c r="M24" i="10"/>
  <c r="M25" i="10"/>
  <c r="M22" i="10"/>
  <c r="M23" i="10"/>
  <c r="K27" i="10"/>
  <c r="K30" i="10"/>
  <c r="F34" i="10"/>
  <c r="F36" i="10"/>
  <c r="J34" i="10"/>
  <c r="J41" i="10"/>
  <c r="K34" i="10"/>
  <c r="K36" i="10"/>
  <c r="F27" i="10"/>
  <c r="F33" i="10"/>
  <c r="J27" i="10"/>
  <c r="J30" i="10"/>
  <c r="L27" i="10"/>
  <c r="L33" i="10"/>
  <c r="L21" i="10"/>
  <c r="M21" i="10"/>
  <c r="P27" i="10"/>
  <c r="P33" i="10"/>
  <c r="O34" i="10"/>
  <c r="O41" i="10"/>
  <c r="N34" i="10"/>
  <c r="N38" i="10"/>
  <c r="N41" i="10"/>
  <c r="R34" i="10"/>
  <c r="R38" i="10"/>
  <c r="S34" i="10"/>
  <c r="S41" i="10"/>
  <c r="N27" i="10"/>
  <c r="Q27" i="10"/>
  <c r="R27" i="10"/>
  <c r="R28" i="10"/>
  <c r="G36" i="10"/>
  <c r="L28" i="9"/>
  <c r="M28" i="9"/>
  <c r="M27" i="9"/>
  <c r="M26" i="9"/>
  <c r="M25" i="9"/>
  <c r="M24" i="9"/>
  <c r="M16" i="9"/>
  <c r="K41" i="10"/>
  <c r="S40" i="10"/>
  <c r="R40" i="10"/>
  <c r="P40" i="10"/>
  <c r="O40" i="10"/>
  <c r="N40" i="10"/>
  <c r="L40" i="10"/>
  <c r="K40" i="10"/>
  <c r="J40" i="10"/>
  <c r="H40" i="10"/>
  <c r="G40" i="10"/>
  <c r="F40" i="10"/>
  <c r="D40" i="10"/>
  <c r="C40" i="10"/>
  <c r="B40" i="10"/>
  <c r="K38" i="10"/>
  <c r="C38" i="10"/>
  <c r="O27" i="10"/>
  <c r="O28" i="10"/>
  <c r="P28" i="10"/>
  <c r="J28" i="10"/>
  <c r="D28" i="10"/>
  <c r="S27" i="10"/>
  <c r="S28" i="10"/>
  <c r="J33" i="10"/>
  <c r="D33" i="10"/>
  <c r="S32" i="10"/>
  <c r="R32" i="10"/>
  <c r="P32" i="10"/>
  <c r="O32" i="10"/>
  <c r="N32" i="10"/>
  <c r="M32" i="10"/>
  <c r="L32" i="10"/>
  <c r="K32" i="10"/>
  <c r="J32" i="10"/>
  <c r="H32" i="10"/>
  <c r="G32" i="10"/>
  <c r="F32" i="10"/>
  <c r="D32" i="10"/>
  <c r="C32" i="10"/>
  <c r="D30" i="10"/>
  <c r="C30" i="10"/>
  <c r="B33" i="10"/>
  <c r="B30" i="10"/>
  <c r="B32" i="10"/>
  <c r="R26" i="10"/>
  <c r="P26" i="10"/>
  <c r="O26" i="10"/>
  <c r="N26" i="10"/>
  <c r="K26" i="10"/>
  <c r="J26" i="10"/>
  <c r="H26" i="10"/>
  <c r="F26" i="10"/>
  <c r="D26" i="10"/>
  <c r="C26" i="10"/>
  <c r="S26" i="10"/>
  <c r="S25" i="10"/>
  <c r="R25" i="10"/>
  <c r="P25" i="10"/>
  <c r="N25" i="10"/>
  <c r="L25" i="10"/>
  <c r="K25" i="10"/>
  <c r="J25" i="10"/>
  <c r="H25" i="10"/>
  <c r="G25" i="10"/>
  <c r="F25" i="10"/>
  <c r="D25" i="10"/>
  <c r="C25" i="10"/>
  <c r="B25" i="10"/>
  <c r="O25" i="10"/>
  <c r="R23" i="10"/>
  <c r="P23" i="10"/>
  <c r="P66" i="10"/>
  <c r="P67" i="10"/>
  <c r="O23" i="10"/>
  <c r="O66" i="10"/>
  <c r="O67" i="10"/>
  <c r="N23" i="10"/>
  <c r="N66" i="10"/>
  <c r="N67" i="10"/>
  <c r="K23" i="10"/>
  <c r="K66" i="10"/>
  <c r="K67" i="10"/>
  <c r="J23" i="10"/>
  <c r="J66" i="10"/>
  <c r="J67" i="10"/>
  <c r="H23" i="10"/>
  <c r="H66" i="10"/>
  <c r="H67" i="10"/>
  <c r="D23" i="10"/>
  <c r="D66" i="10"/>
  <c r="D67" i="10"/>
  <c r="C23" i="10"/>
  <c r="C66" i="10"/>
  <c r="C67" i="10"/>
  <c r="S23" i="10"/>
  <c r="S66" i="10"/>
  <c r="L13" i="4"/>
  <c r="K13" i="4"/>
  <c r="J13" i="4"/>
  <c r="I13" i="4"/>
  <c r="AQ20" i="6"/>
  <c r="AH20" i="6"/>
  <c r="H27" i="9"/>
  <c r="H26" i="9"/>
  <c r="H25" i="9"/>
  <c r="H24" i="9"/>
  <c r="H16" i="9"/>
  <c r="AQ28" i="6"/>
  <c r="AQ27" i="6"/>
  <c r="AQ26" i="6"/>
  <c r="AQ25" i="6"/>
  <c r="AQ24" i="6"/>
  <c r="AQ23" i="6"/>
  <c r="AQ22" i="6"/>
  <c r="AQ21" i="6"/>
  <c r="AH28" i="6"/>
  <c r="AH27" i="6"/>
  <c r="AH26" i="6"/>
  <c r="AH25" i="6"/>
  <c r="AH24" i="6"/>
  <c r="AH23" i="6"/>
  <c r="AH22" i="6"/>
  <c r="AH21" i="6"/>
  <c r="L27" i="9"/>
  <c r="K27" i="9"/>
  <c r="J27" i="9"/>
  <c r="I27" i="9"/>
  <c r="L26" i="9"/>
  <c r="K26" i="9"/>
  <c r="J26" i="9"/>
  <c r="I26" i="9"/>
  <c r="L25" i="9"/>
  <c r="K25" i="9"/>
  <c r="J25" i="9"/>
  <c r="I25" i="9"/>
  <c r="L24" i="9"/>
  <c r="L29" i="9"/>
  <c r="K24" i="9"/>
  <c r="K29" i="9"/>
  <c r="J24" i="9"/>
  <c r="J29" i="9"/>
  <c r="I24" i="9"/>
  <c r="L16" i="9"/>
  <c r="K16" i="9"/>
  <c r="J16" i="9"/>
  <c r="I16" i="9"/>
  <c r="E5" i="8"/>
  <c r="D5" i="8"/>
  <c r="C5" i="8"/>
  <c r="B5" i="8"/>
  <c r="E4" i="8"/>
  <c r="D4" i="8"/>
  <c r="C4" i="8"/>
  <c r="B4" i="8"/>
  <c r="E3" i="8"/>
  <c r="D3" i="8"/>
  <c r="C3" i="8"/>
  <c r="B3" i="8"/>
  <c r="E2" i="8"/>
  <c r="D2" i="8"/>
  <c r="C2" i="8"/>
  <c r="B2" i="8"/>
  <c r="O4" i="1"/>
  <c r="N4" i="1"/>
  <c r="P4" i="1"/>
  <c r="O8" i="1"/>
  <c r="N8" i="1"/>
  <c r="O7" i="1"/>
  <c r="P7" i="1"/>
  <c r="N7" i="1"/>
  <c r="O6" i="1"/>
  <c r="P6" i="1"/>
  <c r="N6" i="1"/>
  <c r="O5" i="1"/>
  <c r="P5" i="1"/>
  <c r="N5" i="1"/>
  <c r="O12" i="4"/>
  <c r="N12" i="4"/>
  <c r="L31" i="4"/>
  <c r="K31" i="4"/>
  <c r="J31" i="4"/>
  <c r="I31" i="4"/>
  <c r="I33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D33" i="4"/>
  <c r="C30" i="4"/>
  <c r="L29" i="4"/>
  <c r="K29" i="4"/>
  <c r="K33" i="4"/>
  <c r="J29" i="4"/>
  <c r="J33" i="4"/>
  <c r="I29" i="4"/>
  <c r="H29" i="4"/>
  <c r="H33" i="4"/>
  <c r="G29" i="4"/>
  <c r="F29" i="4"/>
  <c r="F33" i="4"/>
  <c r="E29" i="4"/>
  <c r="E33" i="4"/>
  <c r="D29" i="4"/>
  <c r="C29" i="4"/>
  <c r="C33" i="4"/>
  <c r="B29" i="4"/>
  <c r="R30" i="10"/>
  <c r="O33" i="10"/>
  <c r="R33" i="10"/>
  <c r="O13" i="4"/>
  <c r="P13" i="4"/>
  <c r="N13" i="4"/>
  <c r="N35" i="4"/>
  <c r="S33" i="10"/>
  <c r="O30" i="10"/>
  <c r="O38" i="10"/>
  <c r="S38" i="10"/>
  <c r="L27" i="4"/>
  <c r="K27" i="4"/>
  <c r="J27" i="4"/>
  <c r="I27" i="4"/>
  <c r="H27" i="4"/>
  <c r="G27" i="4"/>
  <c r="F27" i="4"/>
  <c r="E27" i="4"/>
  <c r="D27" i="4"/>
  <c r="C27" i="4"/>
  <c r="Q41" i="10"/>
  <c r="Q38" i="10"/>
  <c r="L34" i="10"/>
  <c r="L38" i="10"/>
  <c r="L36" i="10"/>
  <c r="E21" i="10"/>
  <c r="E23" i="10"/>
  <c r="M19" i="10"/>
  <c r="P34" i="10"/>
  <c r="P38" i="10"/>
  <c r="P36" i="10"/>
  <c r="I25" i="10"/>
  <c r="C33" i="10"/>
  <c r="F41" i="10"/>
  <c r="L41" i="10"/>
  <c r="U10" i="10"/>
  <c r="U9" i="10" s="1"/>
  <c r="U11" i="10" s="1"/>
  <c r="U13" i="10" s="1"/>
  <c r="V10" i="10"/>
  <c r="V9" i="10" s="1"/>
  <c r="V11" i="10" s="1"/>
  <c r="V13" i="10" s="1"/>
  <c r="M49" i="10"/>
  <c r="Q57" i="10"/>
  <c r="I4" i="11"/>
  <c r="M4" i="11"/>
  <c r="Q4" i="11"/>
  <c r="E7" i="11"/>
  <c r="Q10" i="11"/>
  <c r="B28" i="11"/>
  <c r="E50" i="11"/>
  <c r="T48" i="11" a="1"/>
  <c r="T48" i="11"/>
  <c r="T57" i="11"/>
  <c r="U48" i="11" a="1"/>
  <c r="U48" i="11"/>
  <c r="P41" i="10"/>
  <c r="P30" i="10"/>
  <c r="G33" i="10"/>
  <c r="K33" i="10"/>
  <c r="B28" i="10"/>
  <c r="K28" i="10"/>
  <c r="G38" i="10"/>
  <c r="J38" i="10"/>
  <c r="M40" i="10"/>
  <c r="M34" i="10"/>
  <c r="I13" i="10"/>
  <c r="Q6" i="10"/>
  <c r="E57" i="10"/>
  <c r="E54" i="13"/>
  <c r="U43" i="10"/>
  <c r="E33" i="11"/>
  <c r="I12" i="11"/>
  <c r="I7" i="11"/>
  <c r="B26" i="11"/>
  <c r="E13" i="11"/>
  <c r="Q34" i="11"/>
  <c r="Q38" i="11"/>
  <c r="M49" i="11"/>
  <c r="Q49" i="11"/>
  <c r="Q41" i="11"/>
  <c r="P12" i="4"/>
  <c r="P41" i="11"/>
  <c r="P38" i="11"/>
  <c r="F28" i="11"/>
  <c r="F36" i="11"/>
  <c r="Q25" i="10"/>
  <c r="B26" i="10"/>
  <c r="G26" i="10"/>
  <c r="I41" i="11"/>
  <c r="F30" i="11"/>
  <c r="Q25" i="11"/>
  <c r="H30" i="11"/>
  <c r="M36" i="11"/>
  <c r="E6" i="11"/>
  <c r="E57" i="11"/>
  <c r="E58" i="11"/>
  <c r="M57" i="11"/>
  <c r="M58" i="11"/>
  <c r="J33" i="11"/>
  <c r="L30" i="10"/>
  <c r="C30" i="11"/>
  <c r="S41" i="11"/>
  <c r="Q27" i="11"/>
  <c r="Q33" i="11"/>
  <c r="I27" i="11"/>
  <c r="I30" i="11"/>
  <c r="S36" i="11"/>
  <c r="F26" i="11"/>
  <c r="C33" i="11"/>
  <c r="S33" i="11"/>
  <c r="O28" i="11"/>
  <c r="O36" i="11"/>
  <c r="O30" i="11"/>
  <c r="I57" i="11"/>
  <c r="I58" i="11"/>
  <c r="Q30" i="11"/>
  <c r="I36" i="11"/>
  <c r="N33" i="4" a="1"/>
  <c r="N33" i="4"/>
  <c r="U57" i="11"/>
  <c r="U58" i="11"/>
  <c r="N34" i="4" a="1"/>
  <c r="N34" i="4"/>
  <c r="N36" i="4"/>
  <c r="Q28" i="11"/>
  <c r="I28" i="11"/>
  <c r="H34" i="10"/>
  <c r="I40" i="10"/>
  <c r="L33" i="4"/>
  <c r="L28" i="10"/>
  <c r="G28" i="10"/>
  <c r="I33" i="11"/>
  <c r="Q36" i="11"/>
  <c r="I21" i="10"/>
  <c r="H36" i="11"/>
  <c r="G30" i="10"/>
  <c r="M26" i="10"/>
  <c r="L26" i="10"/>
  <c r="S30" i="10"/>
  <c r="G33" i="4"/>
  <c r="Q7" i="10"/>
  <c r="M38" i="11"/>
  <c r="M41" i="11"/>
  <c r="M33" i="11"/>
  <c r="M30" i="11"/>
  <c r="E4" i="11"/>
  <c r="E21" i="11"/>
  <c r="B23" i="11"/>
  <c r="L26" i="11"/>
  <c r="M21" i="11"/>
  <c r="L23" i="11"/>
  <c r="O41" i="11"/>
  <c r="O38" i="11"/>
  <c r="Q10" i="10"/>
  <c r="B41" i="10"/>
  <c r="B36" i="10"/>
  <c r="B38" i="10"/>
  <c r="H38" i="11"/>
  <c r="M7" i="11"/>
  <c r="M6" i="11"/>
  <c r="Q40" i="11"/>
  <c r="E47" i="11"/>
  <c r="E49" i="11"/>
  <c r="L23" i="10"/>
  <c r="L66" i="10"/>
  <c r="L67" i="10"/>
  <c r="P8" i="1"/>
  <c r="M10" i="11"/>
  <c r="M12" i="11"/>
  <c r="D34" i="11"/>
  <c r="E34" i="11"/>
  <c r="E41" i="11"/>
  <c r="L38" i="11"/>
  <c r="K36" i="11"/>
  <c r="E25" i="11"/>
  <c r="Q58" i="11"/>
  <c r="E30" i="11"/>
  <c r="D41" i="11"/>
  <c r="D36" i="11"/>
  <c r="D38" i="11"/>
  <c r="H38" i="10"/>
  <c r="H41" i="10"/>
  <c r="H36" i="10"/>
  <c r="E28" i="11"/>
  <c r="E23" i="11"/>
  <c r="E26" i="11"/>
  <c r="E36" i="11"/>
  <c r="E38" i="11"/>
  <c r="M23" i="11"/>
  <c r="M28" i="11"/>
  <c r="M26" i="11"/>
  <c r="I26" i="10"/>
  <c r="K38" i="9"/>
  <c r="N8" i="9"/>
  <c r="N24" i="9"/>
  <c r="N16" i="9"/>
  <c r="I38" i="9"/>
  <c r="L38" i="9"/>
  <c r="J38" i="9"/>
  <c r="X32" i="10"/>
  <c r="E30" i="10"/>
  <c r="E33" i="10"/>
  <c r="E28" i="10"/>
  <c r="D41" i="10"/>
  <c r="D38" i="10"/>
  <c r="D36" i="10"/>
  <c r="Q28" i="10"/>
  <c r="Q33" i="10"/>
  <c r="Q30" i="10"/>
  <c r="Q36" i="10"/>
  <c r="I36" i="10"/>
  <c r="N36" i="10"/>
  <c r="O36" i="10"/>
  <c r="M58" i="10"/>
  <c r="N30" i="10"/>
  <c r="I38" i="10"/>
  <c r="M27" i="10"/>
  <c r="E38" i="10"/>
  <c r="M38" i="10"/>
  <c r="H33" i="10"/>
  <c r="R41" i="10"/>
  <c r="F38" i="10"/>
  <c r="M66" i="10"/>
  <c r="M67" i="10"/>
  <c r="E66" i="10"/>
  <c r="E67" i="10"/>
  <c r="N54" i="13"/>
  <c r="R54" i="13"/>
  <c r="M4" i="10"/>
  <c r="N33" i="10"/>
  <c r="E34" i="10"/>
  <c r="N28" i="10"/>
  <c r="J36" i="10"/>
  <c r="H30" i="10"/>
  <c r="I27" i="10"/>
  <c r="I33" i="10"/>
  <c r="M41" i="10"/>
  <c r="E7" i="10"/>
  <c r="E6" i="10"/>
  <c r="E40" i="10"/>
  <c r="E49" i="10"/>
  <c r="D54" i="13"/>
  <c r="Q13" i="10"/>
  <c r="I57" i="10"/>
  <c r="E13" i="10"/>
  <c r="E26" i="10"/>
  <c r="I41" i="10"/>
  <c r="F30" i="10"/>
  <c r="F28" i="10"/>
  <c r="R36" i="10"/>
  <c r="R66" i="10"/>
  <c r="Q66" i="10"/>
  <c r="Q67" i="10"/>
  <c r="I66" i="10"/>
  <c r="I67" i="10"/>
  <c r="L40" i="9"/>
  <c r="S67" i="10"/>
  <c r="S68" i="10"/>
  <c r="R67" i="10"/>
  <c r="R68" i="10"/>
  <c r="E36" i="10"/>
  <c r="E41" i="10"/>
  <c r="M30" i="10"/>
  <c r="M28" i="10"/>
  <c r="M33" i="10"/>
  <c r="M36" i="10"/>
  <c r="I58" i="10"/>
  <c r="I54" i="13"/>
  <c r="I28" i="10"/>
  <c r="I30" i="10"/>
  <c r="B54" i="12"/>
  <c r="B50" i="12"/>
  <c r="B46" i="12"/>
  <c r="B42" i="12"/>
  <c r="B38" i="12"/>
  <c r="B34" i="12"/>
  <c r="C29" i="12"/>
  <c r="E23" i="12"/>
  <c r="E17" i="12"/>
  <c r="B12" i="12"/>
  <c r="D51" i="12"/>
  <c r="D47" i="12"/>
  <c r="D43" i="12"/>
  <c r="D39" i="12"/>
  <c r="D35" i="12"/>
  <c r="E30" i="12"/>
  <c r="E26" i="12"/>
  <c r="C18" i="12"/>
  <c r="C14" i="12"/>
  <c r="B52" i="12"/>
  <c r="B48" i="12"/>
  <c r="B44" i="12"/>
  <c r="B40" i="12"/>
  <c r="B36" i="12"/>
  <c r="C31" i="12"/>
  <c r="C27" i="12"/>
  <c r="E21" i="12"/>
  <c r="E15" i="12"/>
  <c r="D53" i="12"/>
  <c r="D49" i="12"/>
  <c r="D45" i="12"/>
  <c r="D41" i="12"/>
  <c r="D37" i="12"/>
  <c r="D33" i="12"/>
  <c r="E28" i="12"/>
  <c r="C22" i="12"/>
  <c r="C16" i="12"/>
  <c r="E10" i="12"/>
  <c r="E6" i="12"/>
  <c r="D9" i="12"/>
  <c r="D5" i="12"/>
  <c r="C8" i="12"/>
  <c r="C4" i="12"/>
  <c r="B4" i="12"/>
  <c r="C3" i="12"/>
  <c r="C53" i="12"/>
  <c r="C49" i="12"/>
  <c r="C45" i="12"/>
  <c r="C41" i="12"/>
  <c r="C37" i="12"/>
  <c r="C33" i="12"/>
  <c r="D28" i="12"/>
  <c r="B22" i="12"/>
  <c r="B16" i="12"/>
  <c r="E54" i="12"/>
  <c r="E50" i="12"/>
  <c r="E46" i="12"/>
  <c r="E42" i="12"/>
  <c r="E38" i="12"/>
  <c r="E34" i="12"/>
  <c r="B29" i="12"/>
  <c r="D23" i="12"/>
  <c r="D17" i="12"/>
  <c r="E12" i="12"/>
  <c r="C51" i="12"/>
  <c r="C47" i="12"/>
  <c r="C43" i="12"/>
  <c r="C39" i="12"/>
  <c r="C35" i="12"/>
  <c r="D30" i="12"/>
  <c r="D26" i="12"/>
  <c r="B18" i="12"/>
  <c r="B14" i="12"/>
  <c r="E52" i="12"/>
  <c r="E48" i="12"/>
  <c r="E44" i="12"/>
  <c r="E40" i="12"/>
  <c r="E36" i="12"/>
  <c r="B31" i="12"/>
  <c r="B27" i="12"/>
  <c r="D21" i="12"/>
  <c r="D15" i="12"/>
  <c r="E9" i="12"/>
  <c r="E5" i="12"/>
  <c r="D8" i="12"/>
  <c r="D4" i="12"/>
  <c r="C7" i="12"/>
  <c r="B10" i="12"/>
  <c r="B9" i="12"/>
  <c r="B3" i="12"/>
  <c r="E51" i="12"/>
  <c r="E47" i="12"/>
  <c r="E43" i="12"/>
  <c r="E39" i="12"/>
  <c r="E35" i="12"/>
  <c r="B30" i="12"/>
  <c r="B26" i="12"/>
  <c r="D18" i="12"/>
  <c r="D14" i="12"/>
  <c r="C52" i="12"/>
  <c r="C48" i="12"/>
  <c r="C44" i="12"/>
  <c r="C40" i="12"/>
  <c r="C36" i="12"/>
  <c r="D31" i="12"/>
  <c r="D27" i="12"/>
  <c r="B21" i="12"/>
  <c r="B15" i="12"/>
  <c r="E53" i="12"/>
  <c r="E49" i="12"/>
  <c r="E45" i="12"/>
  <c r="E41" i="12"/>
  <c r="E37" i="12"/>
  <c r="E33" i="12"/>
  <c r="B28" i="12"/>
  <c r="D22" i="12"/>
  <c r="D16" i="12"/>
  <c r="C54" i="12"/>
  <c r="C50" i="12"/>
  <c r="C46" i="12"/>
  <c r="C42" i="12"/>
  <c r="C38" i="12"/>
  <c r="C34" i="12"/>
  <c r="D29" i="12"/>
  <c r="B23" i="12"/>
  <c r="B17" i="12"/>
  <c r="C12" i="12"/>
  <c r="E7" i="12"/>
  <c r="D10" i="12"/>
  <c r="D6" i="12"/>
  <c r="C9" i="12"/>
  <c r="C5" i="12"/>
  <c r="B6" i="12"/>
  <c r="B5" i="12"/>
  <c r="E3" i="12"/>
  <c r="D48" i="12"/>
  <c r="B37" i="12"/>
  <c r="B47" i="12"/>
  <c r="C6" i="12"/>
  <c r="D40" i="12"/>
  <c r="D50" i="12"/>
  <c r="B39" i="12"/>
  <c r="B7" i="12"/>
  <c r="D44" i="12"/>
  <c r="E27" i="12"/>
  <c r="B49" i="12"/>
  <c r="B33" i="12"/>
  <c r="D54" i="12"/>
  <c r="D38" i="12"/>
  <c r="C17" i="12"/>
  <c r="B43" i="12"/>
  <c r="C26" i="12"/>
  <c r="E4" i="12"/>
  <c r="B8" i="12"/>
  <c r="B45" i="12"/>
  <c r="C28" i="12"/>
  <c r="D12" i="12"/>
  <c r="D7" i="12"/>
  <c r="D52" i="12"/>
  <c r="D36" i="12"/>
  <c r="C15" i="12"/>
  <c r="B41" i="12"/>
  <c r="E22" i="12"/>
  <c r="D46" i="12"/>
  <c r="E29" i="12"/>
  <c r="B51" i="12"/>
  <c r="B35" i="12"/>
  <c r="E14" i="12"/>
  <c r="C10" i="12"/>
  <c r="D3" i="12"/>
  <c r="E31" i="12"/>
  <c r="B53" i="12"/>
  <c r="E16" i="12"/>
  <c r="D42" i="12"/>
  <c r="C23" i="12"/>
  <c r="C30" i="12"/>
  <c r="E8" i="12"/>
  <c r="C21" i="12"/>
  <c r="D34" i="12"/>
  <c r="E18" i="12"/>
  <c r="AC43" i="26"/>
  <c r="AC43" i="32"/>
  <c r="D52" i="25"/>
  <c r="N53" i="25" a="1"/>
  <c r="D39" i="25"/>
  <c r="AB19" i="32"/>
  <c r="AB3" i="32"/>
  <c r="AC19" i="32"/>
  <c r="AC3" i="32"/>
  <c r="AC5" i="32" s="1"/>
  <c r="AC7" i="32" s="1"/>
  <c r="G70" i="32"/>
  <c r="G66" i="32"/>
  <c r="G67" i="32"/>
  <c r="Z19" i="32"/>
  <c r="AB9" i="32"/>
  <c r="AB11" i="32" s="1"/>
  <c r="AB13" i="32" s="1"/>
  <c r="X3" i="32"/>
  <c r="X19" i="32"/>
  <c r="M21" i="32"/>
  <c r="T22" i="32"/>
  <c r="T24" i="32" s="1"/>
  <c r="D70" i="32"/>
  <c r="D66" i="32"/>
  <c r="D67" i="32"/>
  <c r="H70" i="32"/>
  <c r="H66" i="32"/>
  <c r="H67" i="32"/>
  <c r="L23" i="32"/>
  <c r="P70" i="32"/>
  <c r="P66" i="32"/>
  <c r="P67" i="32"/>
  <c r="M57" i="32"/>
  <c r="M54" i="33"/>
  <c r="B26" i="32"/>
  <c r="E27" i="32"/>
  <c r="E28" i="32"/>
  <c r="I27" i="32"/>
  <c r="M27" i="32"/>
  <c r="Q27" i="32"/>
  <c r="W27" i="32"/>
  <c r="O28" i="32"/>
  <c r="K30" i="32"/>
  <c r="I33" i="32"/>
  <c r="I32" i="32"/>
  <c r="U32" i="32"/>
  <c r="O33" i="32"/>
  <c r="I34" i="32"/>
  <c r="I36" i="32"/>
  <c r="O36" i="32"/>
  <c r="AA2" i="32"/>
  <c r="AA8" i="32"/>
  <c r="M19" i="32"/>
  <c r="Y19" i="32"/>
  <c r="Q57" i="32"/>
  <c r="Q54" i="33"/>
  <c r="G26" i="32"/>
  <c r="AB31" i="32"/>
  <c r="AC34" i="32"/>
  <c r="AC31" i="32"/>
  <c r="AC32" i="32"/>
  <c r="E41" i="32"/>
  <c r="H41" i="32"/>
  <c r="H36" i="32"/>
  <c r="H38" i="32"/>
  <c r="Q41" i="32"/>
  <c r="Q40" i="32"/>
  <c r="U39" i="32"/>
  <c r="I21" i="32"/>
  <c r="I23" i="32"/>
  <c r="AB21" i="32"/>
  <c r="AB22" i="32"/>
  <c r="B23" i="32"/>
  <c r="F70" i="32"/>
  <c r="F66" i="32"/>
  <c r="F67" i="32"/>
  <c r="J70" i="32"/>
  <c r="J66" i="32"/>
  <c r="J67" i="32"/>
  <c r="N66" i="32"/>
  <c r="N67" i="32"/>
  <c r="N70" i="32"/>
  <c r="R66" i="32"/>
  <c r="R67" i="32"/>
  <c r="R70" i="32"/>
  <c r="U47" i="32"/>
  <c r="U46" i="32" s="1"/>
  <c r="V70" i="32"/>
  <c r="Y47" i="32"/>
  <c r="Z70" i="32"/>
  <c r="E57" i="32"/>
  <c r="E54" i="33"/>
  <c r="B28" i="32"/>
  <c r="G28" i="32"/>
  <c r="C30" i="32"/>
  <c r="S30" i="32"/>
  <c r="Q33" i="32"/>
  <c r="Q32" i="32"/>
  <c r="G33" i="32"/>
  <c r="Q36" i="32"/>
  <c r="X36" i="32"/>
  <c r="AB36" i="32"/>
  <c r="AB34" i="32"/>
  <c r="W36" i="32"/>
  <c r="AA36" i="32"/>
  <c r="Q38" i="32"/>
  <c r="U38" i="32"/>
  <c r="W3" i="32"/>
  <c r="W5" i="32" s="1"/>
  <c r="W7" i="32" s="1"/>
  <c r="E6" i="32"/>
  <c r="I6" i="32"/>
  <c r="Q6" i="32"/>
  <c r="E12" i="32"/>
  <c r="I12" i="32"/>
  <c r="Q12" i="32"/>
  <c r="AC21" i="32"/>
  <c r="AC22" i="32"/>
  <c r="AC24" i="32" s="1"/>
  <c r="C66" i="32"/>
  <c r="C67" i="32"/>
  <c r="S68" i="32"/>
  <c r="C70" i="32"/>
  <c r="K70" i="32"/>
  <c r="K66" i="32"/>
  <c r="K67" i="32"/>
  <c r="O70" i="32"/>
  <c r="O66" i="32"/>
  <c r="O67" i="32"/>
  <c r="S70" i="32"/>
  <c r="S66" i="32"/>
  <c r="S67" i="32"/>
  <c r="I57" i="32"/>
  <c r="E25" i="32"/>
  <c r="I25" i="32"/>
  <c r="Q25" i="32"/>
  <c r="E26" i="32"/>
  <c r="I26" i="32"/>
  <c r="Q26" i="32"/>
  <c r="D36" i="32"/>
  <c r="D33" i="32"/>
  <c r="D28" i="32"/>
  <c r="H33" i="32"/>
  <c r="H28" i="32"/>
  <c r="L33" i="32"/>
  <c r="L28" i="32"/>
  <c r="P33" i="32"/>
  <c r="P28" i="32"/>
  <c r="V31" i="32"/>
  <c r="V32" i="32"/>
  <c r="V29" i="32"/>
  <c r="Z27" i="32"/>
  <c r="AB29" i="32"/>
  <c r="D30" i="32"/>
  <c r="E33" i="32"/>
  <c r="T32" i="32"/>
  <c r="K33" i="32"/>
  <c r="M41" i="32"/>
  <c r="M36" i="32"/>
  <c r="Y36" i="32"/>
  <c r="AC36" i="32"/>
  <c r="P41" i="32"/>
  <c r="P36" i="32"/>
  <c r="P38" i="32"/>
  <c r="T38" i="32"/>
  <c r="E38" i="32"/>
  <c r="I41" i="32"/>
  <c r="V41" i="32"/>
  <c r="F30" i="32"/>
  <c r="J30" i="32"/>
  <c r="N30" i="32"/>
  <c r="R30" i="32"/>
  <c r="L34" i="32"/>
  <c r="V34" i="32"/>
  <c r="B36" i="32"/>
  <c r="F36" i="32"/>
  <c r="J36" i="32"/>
  <c r="N36" i="32"/>
  <c r="R36" i="32"/>
  <c r="D38" i="32"/>
  <c r="Z39" i="32"/>
  <c r="B41" i="32"/>
  <c r="F41" i="32"/>
  <c r="J41" i="32"/>
  <c r="N41" i="32"/>
  <c r="R41" i="32"/>
  <c r="Y44" i="32"/>
  <c r="E49" i="32"/>
  <c r="I49" i="32"/>
  <c r="M49" i="32"/>
  <c r="Q49" i="32"/>
  <c r="C69" i="32"/>
  <c r="H69" i="32"/>
  <c r="S69" i="32"/>
  <c r="Q66" i="32"/>
  <c r="Q67" i="32"/>
  <c r="V6" i="34"/>
  <c r="U19" i="33"/>
  <c r="X39" i="32"/>
  <c r="E66" i="32"/>
  <c r="E67" i="32"/>
  <c r="Q58" i="32"/>
  <c r="F69" i="32"/>
  <c r="K69" i="32"/>
  <c r="P69" i="32"/>
  <c r="X12" i="34"/>
  <c r="X36" i="33"/>
  <c r="X39" i="33"/>
  <c r="I40" i="32"/>
  <c r="Q47" i="32"/>
  <c r="J54" i="33"/>
  <c r="M58" i="32"/>
  <c r="B69" i="32"/>
  <c r="G69" i="32"/>
  <c r="L69" i="32"/>
  <c r="W36" i="33"/>
  <c r="W39" i="33"/>
  <c r="T56" i="33"/>
  <c r="T5" i="33"/>
  <c r="T27" i="33"/>
  <c r="V34" i="34"/>
  <c r="U7" i="34"/>
  <c r="V19" i="34"/>
  <c r="U19" i="34"/>
  <c r="W19" i="34"/>
  <c r="X19" i="34"/>
  <c r="U5" i="34"/>
  <c r="V8" i="34"/>
  <c r="W8" i="34"/>
  <c r="V27" i="34"/>
  <c r="T32" i="34"/>
  <c r="U27" i="34"/>
  <c r="W27" i="34"/>
  <c r="V40" i="34"/>
  <c r="T15" i="34"/>
  <c r="T39" i="33"/>
  <c r="U21" i="34"/>
  <c r="W36" i="34"/>
  <c r="X36" i="34"/>
  <c r="V36" i="34"/>
  <c r="U20" i="34"/>
  <c r="U22" i="34"/>
  <c r="U28" i="34"/>
  <c r="U37" i="34"/>
  <c r="N40" i="25" a="1"/>
  <c r="AC19" i="29"/>
  <c r="AC3" i="29"/>
  <c r="AA9" i="29"/>
  <c r="Z19" i="29"/>
  <c r="Z3" i="29"/>
  <c r="AC31" i="29"/>
  <c r="AC32" i="29"/>
  <c r="AC29" i="29"/>
  <c r="AC21" i="29"/>
  <c r="AA19" i="29"/>
  <c r="AA3" i="29"/>
  <c r="Y38" i="29"/>
  <c r="U37" i="29"/>
  <c r="AB39" i="29"/>
  <c r="X41" i="29"/>
  <c r="AB2" i="29"/>
  <c r="F70" i="29"/>
  <c r="F66" i="29"/>
  <c r="F67" i="29"/>
  <c r="W3" i="29"/>
  <c r="W5" i="29" s="1"/>
  <c r="W7" i="29" s="1"/>
  <c r="E6" i="29"/>
  <c r="I6" i="29"/>
  <c r="M6" i="29"/>
  <c r="Q6" i="29"/>
  <c r="T6" i="29"/>
  <c r="E12" i="29"/>
  <c r="I12" i="29"/>
  <c r="M12" i="29"/>
  <c r="Q12" i="29"/>
  <c r="W19" i="29"/>
  <c r="E21" i="29"/>
  <c r="E26" i="29"/>
  <c r="Y21" i="29"/>
  <c r="C70" i="29"/>
  <c r="C66" i="29"/>
  <c r="C67" i="29"/>
  <c r="G23" i="29"/>
  <c r="K70" i="29"/>
  <c r="K66" i="29"/>
  <c r="K67" i="29"/>
  <c r="O70" i="29"/>
  <c r="O66" i="29"/>
  <c r="O67" i="29"/>
  <c r="S70" i="29"/>
  <c r="S66" i="29"/>
  <c r="S67" i="29"/>
  <c r="I57" i="29"/>
  <c r="I54" i="30"/>
  <c r="E25" i="29"/>
  <c r="I25" i="29"/>
  <c r="M25" i="29"/>
  <c r="Q25" i="29"/>
  <c r="I26" i="29"/>
  <c r="V27" i="29"/>
  <c r="V36" i="29"/>
  <c r="Z36" i="29"/>
  <c r="B28" i="29"/>
  <c r="F28" i="29"/>
  <c r="J28" i="29"/>
  <c r="N28" i="29"/>
  <c r="R28" i="29"/>
  <c r="X29" i="29"/>
  <c r="D30" i="29"/>
  <c r="H30" i="29"/>
  <c r="L30" i="29"/>
  <c r="P30" i="29"/>
  <c r="X31" i="29"/>
  <c r="K36" i="29"/>
  <c r="P36" i="29"/>
  <c r="V37" i="29"/>
  <c r="V40" i="29"/>
  <c r="P38" i="29"/>
  <c r="T38" i="29"/>
  <c r="I41" i="29"/>
  <c r="AA39" i="29"/>
  <c r="C41" i="29"/>
  <c r="V69" i="29"/>
  <c r="Y69" i="29"/>
  <c r="AC44" i="29"/>
  <c r="X69" i="29"/>
  <c r="W69" i="29"/>
  <c r="Q66" i="29"/>
  <c r="Q67" i="29"/>
  <c r="B23" i="29"/>
  <c r="X3" i="29"/>
  <c r="X9" i="29"/>
  <c r="X11" i="29" s="1"/>
  <c r="X13" i="29" s="1"/>
  <c r="D70" i="29"/>
  <c r="D66" i="29"/>
  <c r="D67" i="29"/>
  <c r="H70" i="29"/>
  <c r="H66" i="29"/>
  <c r="H67" i="29"/>
  <c r="L70" i="29"/>
  <c r="L66" i="29"/>
  <c r="L67" i="29"/>
  <c r="P70" i="29"/>
  <c r="P66" i="29"/>
  <c r="P67" i="29"/>
  <c r="M57" i="29"/>
  <c r="M54" i="30"/>
  <c r="E27" i="29"/>
  <c r="I27" i="29"/>
  <c r="I28" i="29"/>
  <c r="M27" i="29"/>
  <c r="M28" i="29"/>
  <c r="Q27" i="29"/>
  <c r="Q28" i="29"/>
  <c r="W27" i="29"/>
  <c r="C28" i="29"/>
  <c r="G28" i="29"/>
  <c r="K28" i="29"/>
  <c r="O28" i="29"/>
  <c r="S28" i="29"/>
  <c r="Y29" i="29"/>
  <c r="Y31" i="29"/>
  <c r="I32" i="29"/>
  <c r="M32" i="29"/>
  <c r="Q32" i="29"/>
  <c r="Y36" i="29"/>
  <c r="AC36" i="29"/>
  <c r="AC34" i="29"/>
  <c r="G36" i="29"/>
  <c r="L36" i="29"/>
  <c r="R36" i="29"/>
  <c r="W36" i="29"/>
  <c r="AA36" i="29"/>
  <c r="M41" i="29"/>
  <c r="M40" i="29"/>
  <c r="T41" i="29"/>
  <c r="E49" i="29"/>
  <c r="E47" i="29"/>
  <c r="Q57" i="29"/>
  <c r="AB27" i="29"/>
  <c r="F30" i="29"/>
  <c r="J30" i="29"/>
  <c r="N30" i="29"/>
  <c r="R30" i="29"/>
  <c r="J33" i="29"/>
  <c r="N33" i="29"/>
  <c r="H34" i="29"/>
  <c r="C36" i="29"/>
  <c r="S36" i="29"/>
  <c r="Q41" i="29"/>
  <c r="Q40" i="29"/>
  <c r="U39" i="29"/>
  <c r="I66" i="29"/>
  <c r="I67" i="29"/>
  <c r="J70" i="29"/>
  <c r="J66" i="29"/>
  <c r="J67" i="29"/>
  <c r="N70" i="29"/>
  <c r="N66" i="29"/>
  <c r="N67" i="29"/>
  <c r="R70" i="29"/>
  <c r="R66" i="29"/>
  <c r="R67" i="29"/>
  <c r="U47" i="29"/>
  <c r="T46" i="29" s="1"/>
  <c r="V70" i="29"/>
  <c r="Z70" i="29"/>
  <c r="AC47" i="29"/>
  <c r="E57" i="29"/>
  <c r="E54" i="30"/>
  <c r="C30" i="29"/>
  <c r="G30" i="29"/>
  <c r="K30" i="29"/>
  <c r="O30" i="29"/>
  <c r="S30" i="29"/>
  <c r="O33" i="29"/>
  <c r="E36" i="29"/>
  <c r="I36" i="29"/>
  <c r="M36" i="29"/>
  <c r="Q36" i="29"/>
  <c r="E41" i="29"/>
  <c r="E40" i="29"/>
  <c r="W41" i="29"/>
  <c r="M66" i="29"/>
  <c r="M67" i="29"/>
  <c r="I40" i="29"/>
  <c r="Q47" i="29"/>
  <c r="C69" i="29"/>
  <c r="G69" i="29"/>
  <c r="K69" i="29"/>
  <c r="O69" i="29"/>
  <c r="S69" i="29"/>
  <c r="Y5" i="31"/>
  <c r="I49" i="29"/>
  <c r="M49" i="29"/>
  <c r="Q49" i="29"/>
  <c r="I58" i="29"/>
  <c r="D69" i="29"/>
  <c r="H69" i="29"/>
  <c r="L69" i="29"/>
  <c r="P69" i="29"/>
  <c r="T69" i="29"/>
  <c r="T15" i="31"/>
  <c r="T39" i="30"/>
  <c r="Z5" i="31"/>
  <c r="M58" i="29"/>
  <c r="E69" i="29"/>
  <c r="I69" i="29"/>
  <c r="M69" i="29"/>
  <c r="Q69" i="29"/>
  <c r="U69" i="29"/>
  <c r="W36" i="30"/>
  <c r="W39" i="30"/>
  <c r="Y48" i="30"/>
  <c r="AC45" i="30"/>
  <c r="AC48" i="30"/>
  <c r="AA5" i="31"/>
  <c r="X12" i="31"/>
  <c r="X36" i="30"/>
  <c r="X39" i="30"/>
  <c r="AB40" i="31"/>
  <c r="U56" i="30"/>
  <c r="U5" i="30"/>
  <c r="U27" i="30"/>
  <c r="U7" i="31"/>
  <c r="U8" i="31"/>
  <c r="X8" i="31"/>
  <c r="W19" i="31"/>
  <c r="U20" i="31"/>
  <c r="U21" i="31"/>
  <c r="W34" i="31"/>
  <c r="W36" i="31"/>
  <c r="V56" i="30"/>
  <c r="V5" i="30"/>
  <c r="V27" i="30"/>
  <c r="V8" i="31"/>
  <c r="V21" i="31"/>
  <c r="W27" i="31"/>
  <c r="U28" i="31"/>
  <c r="T32" i="31"/>
  <c r="X36" i="31"/>
  <c r="Y36" i="31"/>
  <c r="V37" i="31"/>
  <c r="W56" i="30"/>
  <c r="W5" i="30"/>
  <c r="W27" i="30"/>
  <c r="U32" i="31"/>
  <c r="W8" i="31"/>
  <c r="W21" i="31"/>
  <c r="U22" i="31"/>
  <c r="K3" i="24"/>
  <c r="I3" i="24"/>
  <c r="I4" i="24"/>
  <c r="H4" i="24"/>
  <c r="AA37" i="10"/>
  <c r="AA40" i="10"/>
  <c r="W19" i="10"/>
  <c r="W36" i="10"/>
  <c r="AA2" i="10"/>
  <c r="Z3" i="10"/>
  <c r="Z32" i="10"/>
  <c r="AA31" i="10"/>
  <c r="AA32" i="10"/>
  <c r="X12" i="26"/>
  <c r="Y12" i="26"/>
  <c r="Z6" i="26"/>
  <c r="X6" i="26"/>
  <c r="Y6" i="26"/>
  <c r="AA6" i="26"/>
  <c r="X25" i="26"/>
  <c r="G18" i="12"/>
  <c r="H34" i="12"/>
  <c r="F21" i="12"/>
  <c r="I21" i="12"/>
  <c r="G8" i="12"/>
  <c r="F30" i="12"/>
  <c r="I30" i="12"/>
  <c r="F23" i="12"/>
  <c r="I23" i="12"/>
  <c r="H42" i="12"/>
  <c r="G16" i="12"/>
  <c r="J53" i="12"/>
  <c r="G31" i="12"/>
  <c r="H3" i="12"/>
  <c r="F10" i="12"/>
  <c r="I10" i="12"/>
  <c r="G14" i="12"/>
  <c r="J35" i="12"/>
  <c r="J51" i="12"/>
  <c r="G29" i="12"/>
  <c r="H46" i="12"/>
  <c r="G22" i="12"/>
  <c r="J41" i="12"/>
  <c r="I15" i="12"/>
  <c r="F15" i="12"/>
  <c r="H36" i="12"/>
  <c r="H52" i="12"/>
  <c r="H7" i="12"/>
  <c r="H12" i="12"/>
  <c r="I28" i="12"/>
  <c r="F28" i="12"/>
  <c r="J45" i="12"/>
  <c r="J8" i="12"/>
  <c r="G4" i="12"/>
  <c r="F26" i="12"/>
  <c r="I26" i="12"/>
  <c r="J43" i="12"/>
  <c r="I17" i="12"/>
  <c r="F17" i="12"/>
  <c r="H38" i="12"/>
  <c r="H54" i="12"/>
  <c r="J33" i="12"/>
  <c r="J49" i="12"/>
  <c r="G27" i="12"/>
  <c r="H44" i="12"/>
  <c r="J7" i="12"/>
  <c r="J39" i="12"/>
  <c r="H50" i="12"/>
  <c r="H40" i="12"/>
  <c r="F6" i="12"/>
  <c r="I6" i="12"/>
  <c r="J47" i="12"/>
  <c r="J37" i="12"/>
  <c r="H48" i="12"/>
  <c r="G3" i="12"/>
  <c r="J5" i="12"/>
  <c r="J6" i="12"/>
  <c r="I5" i="12"/>
  <c r="F5" i="12"/>
  <c r="I9" i="12"/>
  <c r="F9" i="12"/>
  <c r="H6" i="12"/>
  <c r="H10" i="12"/>
  <c r="G7" i="12"/>
  <c r="F12" i="12"/>
  <c r="I12" i="12"/>
  <c r="J17" i="12"/>
  <c r="J23" i="12"/>
  <c r="H29" i="12"/>
  <c r="F34" i="12"/>
  <c r="I34" i="12"/>
  <c r="F38" i="12"/>
  <c r="I38" i="12"/>
  <c r="F42" i="12"/>
  <c r="I42" i="12"/>
  <c r="F46" i="12"/>
  <c r="I46" i="12"/>
  <c r="I50" i="12"/>
  <c r="F50" i="12"/>
  <c r="F54" i="12"/>
  <c r="I54" i="12"/>
  <c r="H16" i="12"/>
  <c r="H22" i="12"/>
  <c r="J28" i="12"/>
  <c r="G33" i="12"/>
  <c r="G37" i="12"/>
  <c r="G41" i="12"/>
  <c r="G45" i="12"/>
  <c r="G49" i="12"/>
  <c r="G53" i="12"/>
  <c r="J15" i="12"/>
  <c r="J21" i="12"/>
  <c r="H27" i="12"/>
  <c r="H31" i="12"/>
  <c r="I36" i="12"/>
  <c r="F36" i="12"/>
  <c r="F40" i="12"/>
  <c r="I40" i="12"/>
  <c r="I44" i="12"/>
  <c r="F44" i="12"/>
  <c r="F48" i="12"/>
  <c r="I48" i="12"/>
  <c r="F52" i="12"/>
  <c r="I52" i="12"/>
  <c r="H14" i="12"/>
  <c r="H18" i="12"/>
  <c r="J26" i="12"/>
  <c r="J30" i="12"/>
  <c r="G35" i="12"/>
  <c r="G39" i="12"/>
  <c r="G43" i="12"/>
  <c r="G47" i="12"/>
  <c r="G51" i="12"/>
  <c r="J3" i="12"/>
  <c r="J9" i="12"/>
  <c r="J10" i="12"/>
  <c r="I7" i="12"/>
  <c r="F7" i="12"/>
  <c r="H4" i="12"/>
  <c r="H8" i="12"/>
  <c r="G5" i="12"/>
  <c r="G9" i="12"/>
  <c r="H15" i="12"/>
  <c r="H21" i="12"/>
  <c r="J27" i="12"/>
  <c r="J31" i="12"/>
  <c r="G36" i="12"/>
  <c r="G40" i="12"/>
  <c r="G44" i="12"/>
  <c r="G48" i="12"/>
  <c r="G52" i="12"/>
  <c r="J14" i="12"/>
  <c r="J18" i="12"/>
  <c r="H26" i="12"/>
  <c r="H30" i="12"/>
  <c r="F35" i="12"/>
  <c r="I35" i="12"/>
  <c r="I39" i="12"/>
  <c r="F39" i="12"/>
  <c r="F43" i="12"/>
  <c r="I43" i="12"/>
  <c r="I47" i="12"/>
  <c r="F47" i="12"/>
  <c r="F51" i="12"/>
  <c r="I51" i="12"/>
  <c r="G12" i="12"/>
  <c r="H17" i="12"/>
  <c r="H23" i="12"/>
  <c r="J29" i="12"/>
  <c r="G34" i="12"/>
  <c r="G38" i="12"/>
  <c r="G42" i="12"/>
  <c r="G46" i="12"/>
  <c r="G50" i="12"/>
  <c r="G54" i="12"/>
  <c r="J16" i="12"/>
  <c r="J22" i="12"/>
  <c r="H28" i="12"/>
  <c r="I33" i="12"/>
  <c r="F33" i="12"/>
  <c r="F37" i="12"/>
  <c r="I37" i="12"/>
  <c r="I41" i="12"/>
  <c r="F41" i="12"/>
  <c r="F45" i="12"/>
  <c r="I45" i="12"/>
  <c r="I49" i="12"/>
  <c r="F49" i="12"/>
  <c r="F53" i="12"/>
  <c r="I53" i="12"/>
  <c r="I3" i="12"/>
  <c r="F3" i="12"/>
  <c r="J4" i="12"/>
  <c r="F4" i="12"/>
  <c r="I4" i="12"/>
  <c r="F8" i="12"/>
  <c r="I8" i="12"/>
  <c r="H5" i="12"/>
  <c r="H9" i="12"/>
  <c r="G6" i="12"/>
  <c r="G10" i="12"/>
  <c r="F16" i="12"/>
  <c r="I16" i="12"/>
  <c r="F22" i="12"/>
  <c r="I22" i="12"/>
  <c r="G28" i="12"/>
  <c r="H33" i="12"/>
  <c r="H37" i="12"/>
  <c r="H41" i="12"/>
  <c r="H45" i="12"/>
  <c r="H49" i="12"/>
  <c r="H53" i="12"/>
  <c r="G15" i="12"/>
  <c r="G21" i="12"/>
  <c r="I27" i="12"/>
  <c r="F27" i="12"/>
  <c r="F31" i="12"/>
  <c r="I31" i="12"/>
  <c r="J36" i="12"/>
  <c r="J40" i="12"/>
  <c r="J44" i="12"/>
  <c r="J48" i="12"/>
  <c r="J52" i="12"/>
  <c r="F14" i="12"/>
  <c r="I14" i="12"/>
  <c r="F18" i="12"/>
  <c r="I18" i="12"/>
  <c r="G26" i="12"/>
  <c r="G30" i="12"/>
  <c r="H35" i="12"/>
  <c r="H39" i="12"/>
  <c r="H43" i="12"/>
  <c r="H47" i="12"/>
  <c r="H51" i="12"/>
  <c r="J12" i="12"/>
  <c r="G17" i="12"/>
  <c r="G23" i="12"/>
  <c r="I29" i="12"/>
  <c r="F29" i="12"/>
  <c r="J34" i="12"/>
  <c r="J38" i="12"/>
  <c r="J42" i="12"/>
  <c r="J46" i="12"/>
  <c r="J50" i="12"/>
  <c r="J54" i="12"/>
  <c r="AA41" i="26"/>
  <c r="AC31" i="26"/>
  <c r="AC29" i="26"/>
  <c r="AC22" i="26"/>
  <c r="AC24" i="26" s="1"/>
  <c r="W36" i="26"/>
  <c r="N70" i="26"/>
  <c r="N66" i="26"/>
  <c r="N67" i="26"/>
  <c r="P41" i="26"/>
  <c r="P36" i="26"/>
  <c r="P38" i="26"/>
  <c r="T38" i="26"/>
  <c r="M7" i="26"/>
  <c r="U6" i="26"/>
  <c r="M13" i="26"/>
  <c r="I23" i="26"/>
  <c r="I70" i="26"/>
  <c r="F70" i="26"/>
  <c r="F66" i="26"/>
  <c r="F67" i="26"/>
  <c r="R70" i="26"/>
  <c r="R66" i="26"/>
  <c r="R67" i="26"/>
  <c r="Z70" i="26"/>
  <c r="E57" i="26"/>
  <c r="E54" i="27"/>
  <c r="E25" i="26"/>
  <c r="C28" i="26"/>
  <c r="E27" i="26"/>
  <c r="S28" i="26"/>
  <c r="W27" i="26"/>
  <c r="G30" i="26"/>
  <c r="E33" i="26"/>
  <c r="G33" i="26"/>
  <c r="X36" i="26"/>
  <c r="L41" i="26"/>
  <c r="L36" i="26"/>
  <c r="L38" i="26"/>
  <c r="Q38" i="26"/>
  <c r="U38" i="26"/>
  <c r="W41" i="26"/>
  <c r="B70" i="26"/>
  <c r="B66" i="26"/>
  <c r="B67" i="26"/>
  <c r="R68" i="26"/>
  <c r="O28" i="26"/>
  <c r="Q27" i="26"/>
  <c r="Q28" i="26"/>
  <c r="M41" i="26"/>
  <c r="M19" i="26"/>
  <c r="X19" i="26"/>
  <c r="X3" i="26"/>
  <c r="X5" i="26" s="1"/>
  <c r="X7" i="26" s="1"/>
  <c r="E7" i="26"/>
  <c r="E6" i="26"/>
  <c r="M10" i="26"/>
  <c r="E13" i="26"/>
  <c r="E12" i="26"/>
  <c r="T28" i="26"/>
  <c r="U25" i="26"/>
  <c r="K28" i="26"/>
  <c r="M27" i="26"/>
  <c r="AB31" i="26"/>
  <c r="AB32" i="26"/>
  <c r="AB29" i="26"/>
  <c r="O30" i="26"/>
  <c r="O33" i="26"/>
  <c r="O36" i="26"/>
  <c r="I38" i="26"/>
  <c r="Q47" i="26"/>
  <c r="M50" i="26"/>
  <c r="M49" i="26"/>
  <c r="E58" i="26"/>
  <c r="Z22" i="26"/>
  <c r="Z31" i="26"/>
  <c r="Z29" i="26"/>
  <c r="Y69" i="26"/>
  <c r="X69" i="26"/>
  <c r="W69" i="26"/>
  <c r="V69" i="26"/>
  <c r="AC19" i="26"/>
  <c r="AC3" i="26"/>
  <c r="V3" i="26"/>
  <c r="V5" i="26"/>
  <c r="V7" i="26" s="1"/>
  <c r="AB8" i="26"/>
  <c r="T12" i="26"/>
  <c r="B26" i="26"/>
  <c r="B28" i="26"/>
  <c r="E21" i="26"/>
  <c r="E26" i="26"/>
  <c r="L70" i="26"/>
  <c r="L66" i="26"/>
  <c r="L67" i="26"/>
  <c r="E23" i="26"/>
  <c r="E70" i="26"/>
  <c r="J70" i="26"/>
  <c r="J66" i="26"/>
  <c r="J67" i="26"/>
  <c r="G28" i="26"/>
  <c r="I27" i="26"/>
  <c r="I28" i="26"/>
  <c r="Y31" i="26"/>
  <c r="Y29" i="26"/>
  <c r="Y21" i="26"/>
  <c r="Y22" i="26"/>
  <c r="Y24" i="26" s="1"/>
  <c r="Q32" i="26"/>
  <c r="E41" i="26"/>
  <c r="E36" i="26"/>
  <c r="W37" i="26"/>
  <c r="W40" i="26" s="1"/>
  <c r="H41" i="26"/>
  <c r="H36" i="26"/>
  <c r="H38" i="26"/>
  <c r="M38" i="26"/>
  <c r="Q41" i="26"/>
  <c r="Q40" i="26"/>
  <c r="U39" i="26"/>
  <c r="M58" i="26"/>
  <c r="Y3" i="26"/>
  <c r="Q4" i="26"/>
  <c r="Q10" i="26"/>
  <c r="Q19" i="26"/>
  <c r="Y19" i="26"/>
  <c r="Y36" i="26"/>
  <c r="Q23" i="26"/>
  <c r="Q70" i="26"/>
  <c r="D28" i="26"/>
  <c r="H28" i="26"/>
  <c r="L28" i="26"/>
  <c r="P28" i="26"/>
  <c r="V29" i="26"/>
  <c r="F30" i="26"/>
  <c r="J30" i="26"/>
  <c r="N30" i="26"/>
  <c r="R30" i="26"/>
  <c r="V31" i="26"/>
  <c r="V32" i="26"/>
  <c r="V34" i="26"/>
  <c r="B36" i="26"/>
  <c r="F36" i="26"/>
  <c r="J36" i="26"/>
  <c r="N36" i="26"/>
  <c r="R36" i="26"/>
  <c r="Z39" i="26"/>
  <c r="B41" i="26"/>
  <c r="F41" i="26"/>
  <c r="J41" i="26"/>
  <c r="N41" i="26"/>
  <c r="R41" i="26"/>
  <c r="M66" i="26"/>
  <c r="M67" i="26"/>
  <c r="E49" i="26"/>
  <c r="I49" i="26"/>
  <c r="Q49" i="26"/>
  <c r="I58" i="26"/>
  <c r="V6" i="28"/>
  <c r="V19" i="27"/>
  <c r="W8" i="28"/>
  <c r="I6" i="26"/>
  <c r="M6" i="26"/>
  <c r="I12" i="26"/>
  <c r="M12" i="26"/>
  <c r="C70" i="26"/>
  <c r="C66" i="26"/>
  <c r="C67" i="26"/>
  <c r="S68" i="26"/>
  <c r="G70" i="26"/>
  <c r="G66" i="26"/>
  <c r="G67" i="26"/>
  <c r="K70" i="26"/>
  <c r="K66" i="26"/>
  <c r="K67" i="26"/>
  <c r="O70" i="26"/>
  <c r="O66" i="26"/>
  <c r="O67" i="26"/>
  <c r="S70" i="26"/>
  <c r="S66" i="26"/>
  <c r="S67" i="26"/>
  <c r="I25" i="26"/>
  <c r="M25" i="26"/>
  <c r="I26" i="26"/>
  <c r="M26" i="26"/>
  <c r="F28" i="26"/>
  <c r="D30" i="26"/>
  <c r="H30" i="26"/>
  <c r="L30" i="26"/>
  <c r="P30" i="26"/>
  <c r="D33" i="26"/>
  <c r="X39" i="26"/>
  <c r="E66" i="26"/>
  <c r="E67" i="26"/>
  <c r="Q58" i="26"/>
  <c r="E69" i="26"/>
  <c r="D69" i="26"/>
  <c r="C69" i="26"/>
  <c r="B69" i="26"/>
  <c r="I69" i="26"/>
  <c r="H69" i="26"/>
  <c r="G69" i="26"/>
  <c r="F69" i="26"/>
  <c r="M69" i="26"/>
  <c r="L69" i="26"/>
  <c r="K69" i="26"/>
  <c r="J69" i="26"/>
  <c r="Q69" i="26"/>
  <c r="P69" i="26"/>
  <c r="O69" i="26"/>
  <c r="N69" i="26"/>
  <c r="AC45" i="27"/>
  <c r="AC48" i="27"/>
  <c r="Y48" i="27"/>
  <c r="D70" i="26"/>
  <c r="D66" i="26"/>
  <c r="D67" i="26"/>
  <c r="H70" i="26"/>
  <c r="H66" i="26"/>
  <c r="H67" i="26"/>
  <c r="P70" i="26"/>
  <c r="P66" i="26"/>
  <c r="P67" i="26"/>
  <c r="I32" i="26"/>
  <c r="I40" i="26"/>
  <c r="U69" i="26"/>
  <c r="T69" i="26"/>
  <c r="S69" i="26"/>
  <c r="R69" i="26"/>
  <c r="I66" i="26"/>
  <c r="I67" i="26"/>
  <c r="U56" i="27"/>
  <c r="U5" i="27"/>
  <c r="U27" i="27"/>
  <c r="X12" i="28"/>
  <c r="X36" i="27"/>
  <c r="X39" i="27"/>
  <c r="V34" i="28"/>
  <c r="U19" i="27"/>
  <c r="T15" i="28"/>
  <c r="V5" i="28"/>
  <c r="V7" i="28"/>
  <c r="V8" i="28"/>
  <c r="U32" i="28"/>
  <c r="U37" i="28"/>
  <c r="U40" i="28"/>
  <c r="T38" i="28"/>
  <c r="V20" i="28"/>
  <c r="V22" i="28"/>
  <c r="V28" i="28"/>
  <c r="U36" i="28"/>
  <c r="V19" i="28"/>
  <c r="V21" i="28"/>
  <c r="V27" i="28"/>
  <c r="O8" i="9"/>
  <c r="U15" i="15"/>
  <c r="U17" i="15"/>
  <c r="V17" i="15"/>
  <c r="W17" i="15"/>
  <c r="T23" i="15"/>
  <c r="X17" i="15"/>
  <c r="Y17" i="15"/>
  <c r="Z17" i="15"/>
  <c r="AA17" i="15"/>
  <c r="AB17" i="15"/>
  <c r="AC17" i="15"/>
  <c r="W56" i="33"/>
  <c r="W5" i="33"/>
  <c r="W27" i="33"/>
  <c r="I70" i="32"/>
  <c r="I66" i="32"/>
  <c r="I67" i="32"/>
  <c r="Y19" i="34"/>
  <c r="U6" i="32"/>
  <c r="W21" i="34"/>
  <c r="X41" i="32"/>
  <c r="AB39" i="32"/>
  <c r="Y36" i="34"/>
  <c r="AB36" i="34"/>
  <c r="V37" i="32"/>
  <c r="V40" i="32"/>
  <c r="V36" i="32"/>
  <c r="Z36" i="32"/>
  <c r="Z34" i="32"/>
  <c r="Z37" i="32"/>
  <c r="Z31" i="32"/>
  <c r="Z29" i="32"/>
  <c r="Z21" i="32"/>
  <c r="Z22" i="32"/>
  <c r="Z24" i="32" s="1"/>
  <c r="Y38" i="32"/>
  <c r="U37" i="32"/>
  <c r="T25" i="32"/>
  <c r="I38" i="32"/>
  <c r="E30" i="32"/>
  <c r="M33" i="32"/>
  <c r="M30" i="32"/>
  <c r="M28" i="32"/>
  <c r="W37" i="34"/>
  <c r="V37" i="34"/>
  <c r="V22" i="34"/>
  <c r="Z36" i="34"/>
  <c r="X8" i="34"/>
  <c r="X21" i="33"/>
  <c r="U18" i="33"/>
  <c r="AB19" i="34"/>
  <c r="U38" i="34"/>
  <c r="X69" i="32"/>
  <c r="AC44" i="32"/>
  <c r="L41" i="32"/>
  <c r="L36" i="32"/>
  <c r="L38" i="32"/>
  <c r="X38" i="32"/>
  <c r="T37" i="32"/>
  <c r="T40" i="32"/>
  <c r="T6" i="32"/>
  <c r="U41" i="32"/>
  <c r="U40" i="32"/>
  <c r="Y39" i="32"/>
  <c r="I28" i="32"/>
  <c r="M26" i="32"/>
  <c r="M23" i="32"/>
  <c r="I30" i="32"/>
  <c r="T23" i="34"/>
  <c r="U4" i="33"/>
  <c r="U15" i="34"/>
  <c r="W24" i="33"/>
  <c r="V21" i="33"/>
  <c r="W21" i="33"/>
  <c r="Z19" i="34"/>
  <c r="W34" i="34"/>
  <c r="V38" i="34"/>
  <c r="Y12" i="34"/>
  <c r="Y36" i="33"/>
  <c r="Y39" i="33"/>
  <c r="W6" i="34"/>
  <c r="W19" i="33"/>
  <c r="I54" i="33"/>
  <c r="I58" i="32"/>
  <c r="V19" i="33"/>
  <c r="AA19" i="32"/>
  <c r="AA3" i="32"/>
  <c r="AA5" i="32" s="1"/>
  <c r="AA7" i="32" s="1"/>
  <c r="W29" i="32"/>
  <c r="W31" i="32"/>
  <c r="W21" i="32"/>
  <c r="W22" i="32"/>
  <c r="W24" i="32" s="1"/>
  <c r="AA27" i="32"/>
  <c r="V28" i="34"/>
  <c r="U25" i="33"/>
  <c r="V20" i="34"/>
  <c r="AA36" i="34"/>
  <c r="AC36" i="34"/>
  <c r="V21" i="34"/>
  <c r="V5" i="34"/>
  <c r="W40" i="34"/>
  <c r="U32" i="34"/>
  <c r="X27" i="34"/>
  <c r="Y27" i="34"/>
  <c r="U24" i="33"/>
  <c r="V24" i="33"/>
  <c r="V7" i="34"/>
  <c r="V56" i="33"/>
  <c r="V5" i="33"/>
  <c r="V27" i="33"/>
  <c r="AA19" i="34"/>
  <c r="AC19" i="34"/>
  <c r="B66" i="32"/>
  <c r="B67" i="32"/>
  <c r="R68" i="32"/>
  <c r="B70" i="32"/>
  <c r="T12" i="32"/>
  <c r="U12" i="32"/>
  <c r="E58" i="32"/>
  <c r="E36" i="32"/>
  <c r="AB32" i="32"/>
  <c r="Q30" i="32"/>
  <c r="Q28" i="32"/>
  <c r="L70" i="32"/>
  <c r="L66" i="32"/>
  <c r="L67" i="32"/>
  <c r="U25" i="32"/>
  <c r="V6" i="32"/>
  <c r="Y8" i="31"/>
  <c r="Y21" i="30"/>
  <c r="AC40" i="31"/>
  <c r="X21" i="31"/>
  <c r="Y21" i="31"/>
  <c r="U15" i="31"/>
  <c r="T23" i="31"/>
  <c r="U4" i="30"/>
  <c r="W31" i="29"/>
  <c r="W29" i="29"/>
  <c r="W21" i="29"/>
  <c r="W22" i="29"/>
  <c r="AA27" i="29"/>
  <c r="E28" i="29"/>
  <c r="E33" i="29"/>
  <c r="E30" i="29"/>
  <c r="Q30" i="29"/>
  <c r="E23" i="29"/>
  <c r="W37" i="31"/>
  <c r="X34" i="31"/>
  <c r="W38" i="31"/>
  <c r="X56" i="30"/>
  <c r="X5" i="30"/>
  <c r="X27" i="30"/>
  <c r="X19" i="31"/>
  <c r="X7" i="31"/>
  <c r="W7" i="31"/>
  <c r="V7" i="31"/>
  <c r="AA18" i="30"/>
  <c r="Z18" i="30"/>
  <c r="Y18" i="30"/>
  <c r="U41" i="29"/>
  <c r="U40" i="29"/>
  <c r="Y39" i="29"/>
  <c r="AB21" i="29"/>
  <c r="AB22" i="29"/>
  <c r="AB24" i="29" s="1"/>
  <c r="AB31" i="29"/>
  <c r="AB29" i="29"/>
  <c r="Y32" i="29"/>
  <c r="E58" i="29"/>
  <c r="Z69" i="29"/>
  <c r="AC69" i="29"/>
  <c r="AB69" i="29"/>
  <c r="AA69" i="29"/>
  <c r="Q33" i="29"/>
  <c r="I33" i="29"/>
  <c r="T12" i="29"/>
  <c r="W24" i="30"/>
  <c r="V22" i="31"/>
  <c r="X22" i="31"/>
  <c r="V20" i="31"/>
  <c r="V38" i="31"/>
  <c r="Y12" i="31"/>
  <c r="Z36" i="31"/>
  <c r="AA36" i="31"/>
  <c r="AB36" i="31"/>
  <c r="H38" i="29"/>
  <c r="H36" i="29"/>
  <c r="H41" i="29"/>
  <c r="Q54" i="30"/>
  <c r="Q58" i="29"/>
  <c r="X38" i="29"/>
  <c r="T37" i="29"/>
  <c r="T40" i="29"/>
  <c r="V31" i="29"/>
  <c r="V29" i="29"/>
  <c r="V21" i="29"/>
  <c r="V22" i="29"/>
  <c r="Z27" i="29"/>
  <c r="AB19" i="29"/>
  <c r="AB34" i="29"/>
  <c r="AB3" i="29"/>
  <c r="Y23" i="24" s="1"/>
  <c r="X22" i="24" s="1"/>
  <c r="AA9" i="31" s="1"/>
  <c r="M30" i="29"/>
  <c r="M33" i="29"/>
  <c r="U6" i="29"/>
  <c r="X21" i="30"/>
  <c r="V28" i="31"/>
  <c r="V25" i="30"/>
  <c r="U25" i="30"/>
  <c r="W22" i="31"/>
  <c r="W21" i="30"/>
  <c r="V21" i="30"/>
  <c r="U21" i="30"/>
  <c r="AB5" i="31"/>
  <c r="X37" i="31"/>
  <c r="X27" i="31"/>
  <c r="B70" i="29"/>
  <c r="B66" i="29"/>
  <c r="B67" i="29"/>
  <c r="R68" i="29"/>
  <c r="X32" i="29"/>
  <c r="G70" i="29"/>
  <c r="G66" i="29"/>
  <c r="G67" i="29"/>
  <c r="S68" i="29"/>
  <c r="AC38" i="29"/>
  <c r="AC37" i="29"/>
  <c r="Y37" i="29"/>
  <c r="U12" i="29"/>
  <c r="T25" i="29"/>
  <c r="I30" i="29"/>
  <c r="L3" i="24"/>
  <c r="K4" i="24"/>
  <c r="AA19" i="10"/>
  <c r="AA3" i="10"/>
  <c r="Z12" i="26"/>
  <c r="AA12" i="26"/>
  <c r="AB12" i="26"/>
  <c r="AB6" i="26"/>
  <c r="AC6" i="26"/>
  <c r="Y25" i="26"/>
  <c r="Z25" i="26"/>
  <c r="N26" i="25" a="1"/>
  <c r="W28" i="28"/>
  <c r="V25" i="27"/>
  <c r="W20" i="28"/>
  <c r="V40" i="28"/>
  <c r="X20" i="28"/>
  <c r="W34" i="28"/>
  <c r="W56" i="27"/>
  <c r="W5" i="27"/>
  <c r="W27" i="27"/>
  <c r="V56" i="27"/>
  <c r="V5" i="27"/>
  <c r="V27" i="27"/>
  <c r="X41" i="26"/>
  <c r="AB39" i="26"/>
  <c r="W19" i="28"/>
  <c r="V37" i="28"/>
  <c r="V18" i="27"/>
  <c r="W21" i="28"/>
  <c r="U38" i="28"/>
  <c r="Q33" i="26"/>
  <c r="Q66" i="26"/>
  <c r="Q67" i="26"/>
  <c r="I36" i="26"/>
  <c r="I33" i="26"/>
  <c r="U37" i="26"/>
  <c r="U40" i="26"/>
  <c r="E30" i="26"/>
  <c r="E28" i="26"/>
  <c r="V37" i="26"/>
  <c r="V40" i="26" s="1"/>
  <c r="V36" i="26"/>
  <c r="Z41" i="26"/>
  <c r="U41" i="26"/>
  <c r="Y39" i="26"/>
  <c r="V32" i="28"/>
  <c r="V24" i="27"/>
  <c r="V36" i="28"/>
  <c r="W27" i="28"/>
  <c r="V21" i="27"/>
  <c r="W21" i="27"/>
  <c r="X8" i="28"/>
  <c r="W7" i="28"/>
  <c r="W5" i="28"/>
  <c r="Z32" i="26"/>
  <c r="M33" i="26"/>
  <c r="M30" i="26"/>
  <c r="M28" i="26"/>
  <c r="M36" i="26"/>
  <c r="Q36" i="26"/>
  <c r="Q30" i="26"/>
  <c r="U12" i="26"/>
  <c r="V41" i="26"/>
  <c r="AC32" i="26"/>
  <c r="W22" i="28"/>
  <c r="T23" i="28"/>
  <c r="U4" i="27"/>
  <c r="U15" i="28"/>
  <c r="Y12" i="28"/>
  <c r="Y36" i="27"/>
  <c r="Y39" i="27"/>
  <c r="W6" i="28"/>
  <c r="W19" i="27"/>
  <c r="AA19" i="26"/>
  <c r="AA3" i="26"/>
  <c r="Y32" i="26"/>
  <c r="I30" i="26"/>
  <c r="W21" i="26"/>
  <c r="W22" i="26"/>
  <c r="W24" i="26" s="1"/>
  <c r="W29" i="26"/>
  <c r="W31" i="26"/>
  <c r="T37" i="26"/>
  <c r="T40" i="26"/>
  <c r="T11" i="26"/>
  <c r="T13" i="26"/>
  <c r="AB19" i="26"/>
  <c r="V4" i="13"/>
  <c r="U23" i="15"/>
  <c r="V15" i="15"/>
  <c r="Z40" i="32"/>
  <c r="Z27" i="34"/>
  <c r="AA27" i="34"/>
  <c r="U23" i="34"/>
  <c r="V4" i="33"/>
  <c r="V15" i="34"/>
  <c r="V12" i="32"/>
  <c r="W12" i="32"/>
  <c r="X40" i="34"/>
  <c r="W32" i="32"/>
  <c r="AB27" i="34"/>
  <c r="X24" i="33"/>
  <c r="T5" i="32"/>
  <c r="T7" i="32" s="1"/>
  <c r="AB41" i="32"/>
  <c r="W5" i="34"/>
  <c r="W7" i="34"/>
  <c r="Y24" i="33"/>
  <c r="W28" i="34"/>
  <c r="W25" i="33"/>
  <c r="X6" i="34"/>
  <c r="X19" i="33"/>
  <c r="W38" i="34"/>
  <c r="X34" i="34"/>
  <c r="X56" i="33"/>
  <c r="X5" i="33"/>
  <c r="X27" i="33"/>
  <c r="AC27" i="34"/>
  <c r="M70" i="32"/>
  <c r="M66" i="32"/>
  <c r="M67" i="32"/>
  <c r="Y41" i="32"/>
  <c r="AC39" i="32"/>
  <c r="V18" i="33"/>
  <c r="X37" i="34"/>
  <c r="AB37" i="34"/>
  <c r="AC37" i="32"/>
  <c r="Y37" i="32"/>
  <c r="Y40" i="32"/>
  <c r="Z32" i="32"/>
  <c r="Z37" i="34"/>
  <c r="AB37" i="32"/>
  <c r="X37" i="32"/>
  <c r="X40" i="32"/>
  <c r="Z41" i="32"/>
  <c r="AA29" i="32"/>
  <c r="AA21" i="32"/>
  <c r="AA34" i="32"/>
  <c r="AA31" i="32"/>
  <c r="AA32" i="32"/>
  <c r="V32" i="34"/>
  <c r="Y21" i="33"/>
  <c r="T11" i="32"/>
  <c r="T13" i="32"/>
  <c r="W6" i="32"/>
  <c r="X6" i="32"/>
  <c r="X5" i="32"/>
  <c r="X7" i="32" s="1"/>
  <c r="X21" i="34"/>
  <c r="Y21" i="34"/>
  <c r="W20" i="34"/>
  <c r="V25" i="33"/>
  <c r="Z36" i="33"/>
  <c r="Z39" i="33"/>
  <c r="Z12" i="34"/>
  <c r="W22" i="34"/>
  <c r="Y8" i="34"/>
  <c r="V25" i="32"/>
  <c r="Y37" i="34"/>
  <c r="AA37" i="34"/>
  <c r="Z21" i="31"/>
  <c r="AB21" i="31"/>
  <c r="AC21" i="31"/>
  <c r="AA21" i="31"/>
  <c r="AB41" i="29"/>
  <c r="V25" i="29"/>
  <c r="V24" i="29"/>
  <c r="AB18" i="30"/>
  <c r="V6" i="29"/>
  <c r="Z34" i="29"/>
  <c r="Z31" i="29"/>
  <c r="Z32" i="29"/>
  <c r="Z29" i="29"/>
  <c r="Z21" i="29"/>
  <c r="Z22" i="29"/>
  <c r="Z12" i="31"/>
  <c r="W20" i="31"/>
  <c r="X12" i="29"/>
  <c r="T11" i="29"/>
  <c r="T13" i="29"/>
  <c r="V12" i="29"/>
  <c r="E70" i="29"/>
  <c r="E66" i="29"/>
  <c r="E67" i="29"/>
  <c r="AA34" i="29"/>
  <c r="AA31" i="29"/>
  <c r="AA29" i="29"/>
  <c r="AA21" i="29"/>
  <c r="AA22" i="29"/>
  <c r="Y24" i="30"/>
  <c r="V32" i="31"/>
  <c r="AB38" i="29"/>
  <c r="AB37" i="29"/>
  <c r="AB40" i="29"/>
  <c r="X37" i="29"/>
  <c r="X40" i="29"/>
  <c r="X20" i="31"/>
  <c r="W12" i="29"/>
  <c r="AC36" i="31"/>
  <c r="AC5" i="31"/>
  <c r="AC18" i="30"/>
  <c r="Y41" i="29"/>
  <c r="Y40" i="29"/>
  <c r="AC39" i="29"/>
  <c r="U23" i="31"/>
  <c r="V15" i="31"/>
  <c r="V4" i="30"/>
  <c r="Z21" i="30"/>
  <c r="U5" i="29"/>
  <c r="U7" i="29" s="1"/>
  <c r="W6" i="29"/>
  <c r="X6" i="29"/>
  <c r="W28" i="31"/>
  <c r="W25" i="30"/>
  <c r="Y22" i="31"/>
  <c r="V32" i="29"/>
  <c r="Y36" i="30"/>
  <c r="Y39" i="30"/>
  <c r="X24" i="30"/>
  <c r="AB32" i="29"/>
  <c r="Y7" i="31"/>
  <c r="X38" i="31"/>
  <c r="Y34" i="31"/>
  <c r="Y56" i="30"/>
  <c r="Y5" i="30"/>
  <c r="Y27" i="30"/>
  <c r="U25" i="29"/>
  <c r="W32" i="29"/>
  <c r="Y19" i="31"/>
  <c r="Z8" i="31"/>
  <c r="Y37" i="31"/>
  <c r="Y27" i="31"/>
  <c r="M3" i="24"/>
  <c r="M4" i="24"/>
  <c r="E5" i="24"/>
  <c r="L4" i="24"/>
  <c r="AA5" i="10"/>
  <c r="AA7" i="10" s="1"/>
  <c r="AC12" i="26"/>
  <c r="AA25" i="26"/>
  <c r="U23" i="28"/>
  <c r="V15" i="28"/>
  <c r="V4" i="27"/>
  <c r="X5" i="28"/>
  <c r="AA31" i="26"/>
  <c r="AA32" i="26"/>
  <c r="AA29" i="26"/>
  <c r="X7" i="28"/>
  <c r="W32" i="28"/>
  <c r="X27" i="28"/>
  <c r="X21" i="28"/>
  <c r="W24" i="27"/>
  <c r="Y41" i="26"/>
  <c r="AC39" i="26"/>
  <c r="AC37" i="26"/>
  <c r="AC40" i="26" s="1"/>
  <c r="Y37" i="26"/>
  <c r="Y40" i="26" s="1"/>
  <c r="X24" i="26"/>
  <c r="Y5" i="28"/>
  <c r="Y7" i="28"/>
  <c r="X34" i="28"/>
  <c r="W25" i="27"/>
  <c r="X37" i="26"/>
  <c r="X40" i="26"/>
  <c r="W32" i="26"/>
  <c r="Z36" i="27"/>
  <c r="Z39" i="27"/>
  <c r="Z12" i="28"/>
  <c r="X22" i="28"/>
  <c r="W37" i="28"/>
  <c r="Z7" i="28"/>
  <c r="Y21" i="28"/>
  <c r="Y20" i="28"/>
  <c r="X6" i="28"/>
  <c r="X18" i="27"/>
  <c r="Y21" i="27"/>
  <c r="Y8" i="28"/>
  <c r="W36" i="28"/>
  <c r="Z36" i="28"/>
  <c r="Y36" i="28"/>
  <c r="X21" i="27"/>
  <c r="W18" i="27"/>
  <c r="X19" i="28"/>
  <c r="AB41" i="26"/>
  <c r="V38" i="28"/>
  <c r="AA7" i="28"/>
  <c r="W40" i="28"/>
  <c r="X36" i="28"/>
  <c r="AA36" i="28"/>
  <c r="X25" i="27"/>
  <c r="X28" i="28"/>
  <c r="Z37" i="26"/>
  <c r="Z40" i="26" s="1"/>
  <c r="W15" i="15"/>
  <c r="W4" i="13"/>
  <c r="V23" i="15"/>
  <c r="AB40" i="32"/>
  <c r="X12" i="32"/>
  <c r="V23" i="34"/>
  <c r="W4" i="33"/>
  <c r="W15" i="34"/>
  <c r="AA37" i="32"/>
  <c r="AA41" i="32"/>
  <c r="AC37" i="34"/>
  <c r="X7" i="34"/>
  <c r="Y40" i="34"/>
  <c r="AA24" i="33"/>
  <c r="AA12" i="34"/>
  <c r="AA36" i="33"/>
  <c r="AA39" i="33"/>
  <c r="X20" i="34"/>
  <c r="X22" i="34"/>
  <c r="Y6" i="34"/>
  <c r="Y6" i="32"/>
  <c r="AC24" i="33"/>
  <c r="Z24" i="33"/>
  <c r="Z21" i="34"/>
  <c r="AA21" i="34"/>
  <c r="V24" i="32"/>
  <c r="X38" i="34"/>
  <c r="Y34" i="34"/>
  <c r="Y56" i="33"/>
  <c r="Y5" i="33"/>
  <c r="Y27" i="33"/>
  <c r="Z6" i="32"/>
  <c r="Z21" i="33"/>
  <c r="Z8" i="34"/>
  <c r="AA8" i="34"/>
  <c r="X5" i="34"/>
  <c r="X18" i="33"/>
  <c r="AC41" i="32"/>
  <c r="AC40" i="32"/>
  <c r="X25" i="33"/>
  <c r="W32" i="34"/>
  <c r="W18" i="33"/>
  <c r="Y22" i="34"/>
  <c r="X28" i="34"/>
  <c r="Y28" i="34"/>
  <c r="W25" i="32"/>
  <c r="AB24" i="33"/>
  <c r="X5" i="29"/>
  <c r="X7" i="29"/>
  <c r="Z6" i="29"/>
  <c r="Z5" i="29"/>
  <c r="Z7" i="29" s="1"/>
  <c r="Y6" i="29"/>
  <c r="AC41" i="29"/>
  <c r="AC40" i="29"/>
  <c r="AA12" i="31"/>
  <c r="AA36" i="30"/>
  <c r="AA39" i="30"/>
  <c r="V23" i="31"/>
  <c r="W4" i="30"/>
  <c r="W15" i="31"/>
  <c r="AA37" i="29"/>
  <c r="AA40" i="29"/>
  <c r="AA41" i="29"/>
  <c r="Y12" i="29"/>
  <c r="Y11" i="29"/>
  <c r="Y13" i="29" s="1"/>
  <c r="Y20" i="31"/>
  <c r="Z27" i="31"/>
  <c r="Z34" i="31"/>
  <c r="Y38" i="31"/>
  <c r="Z56" i="30"/>
  <c r="Z5" i="30"/>
  <c r="Z27" i="30"/>
  <c r="Z22" i="31"/>
  <c r="AA22" i="31"/>
  <c r="Z37" i="31"/>
  <c r="Z36" i="30"/>
  <c r="Z39" i="30"/>
  <c r="Z7" i="31"/>
  <c r="Z37" i="29"/>
  <c r="Z40" i="29"/>
  <c r="Z41" i="29"/>
  <c r="AA8" i="31"/>
  <c r="Z19" i="31"/>
  <c r="AA19" i="31"/>
  <c r="AB19" i="31"/>
  <c r="X25" i="30"/>
  <c r="W32" i="31"/>
  <c r="X28" i="31"/>
  <c r="AA6" i="29"/>
  <c r="AA5" i="29"/>
  <c r="AA7" i="29"/>
  <c r="W25" i="29"/>
  <c r="AA32" i="29"/>
  <c r="V11" i="29"/>
  <c r="Z12" i="29"/>
  <c r="AA12" i="29"/>
  <c r="AA11" i="29"/>
  <c r="AA13" i="29" s="1"/>
  <c r="AC25" i="26"/>
  <c r="AB25" i="26"/>
  <c r="Y28" i="28"/>
  <c r="Y25" i="27"/>
  <c r="Y19" i="28"/>
  <c r="AC41" i="26"/>
  <c r="Z21" i="28"/>
  <c r="AA21" i="28"/>
  <c r="Y18" i="27"/>
  <c r="W13" i="26"/>
  <c r="Y6" i="28"/>
  <c r="Y19" i="27"/>
  <c r="Y34" i="28"/>
  <c r="Y56" i="27"/>
  <c r="Y5" i="27"/>
  <c r="Y27" i="27"/>
  <c r="AB36" i="28"/>
  <c r="AC36" i="28"/>
  <c r="X19" i="27"/>
  <c r="Z20" i="28"/>
  <c r="AA12" i="28"/>
  <c r="AA36" i="27"/>
  <c r="AA39" i="27"/>
  <c r="Z8" i="28"/>
  <c r="Z21" i="27"/>
  <c r="X56" i="27"/>
  <c r="X5" i="27"/>
  <c r="X27" i="27"/>
  <c r="Y37" i="28"/>
  <c r="Z37" i="28"/>
  <c r="X32" i="28"/>
  <c r="Y27" i="28"/>
  <c r="Z19" i="28"/>
  <c r="AA19" i="28"/>
  <c r="V23" i="28"/>
  <c r="W15" i="28"/>
  <c r="W4" i="27"/>
  <c r="X37" i="28"/>
  <c r="X40" i="28"/>
  <c r="Z5" i="28"/>
  <c r="Y22" i="28"/>
  <c r="W38" i="28"/>
  <c r="X24" i="27"/>
  <c r="AB7" i="28"/>
  <c r="AC7" i="28"/>
  <c r="W23" i="15"/>
  <c r="X4" i="13"/>
  <c r="X15" i="15"/>
  <c r="AA40" i="32"/>
  <c r="X15" i="34"/>
  <c r="W23" i="34"/>
  <c r="X4" i="33"/>
  <c r="Y32" i="34"/>
  <c r="Z28" i="34"/>
  <c r="Z25" i="33"/>
  <c r="AB21" i="33"/>
  <c r="AB8" i="34"/>
  <c r="Z6" i="34"/>
  <c r="Z19" i="33"/>
  <c r="Z40" i="34"/>
  <c r="Y5" i="34"/>
  <c r="AA28" i="34"/>
  <c r="Z22" i="34"/>
  <c r="AB12" i="34"/>
  <c r="AB36" i="33"/>
  <c r="AB39" i="33"/>
  <c r="AB21" i="34"/>
  <c r="Y12" i="32"/>
  <c r="AA12" i="32"/>
  <c r="Y20" i="34"/>
  <c r="AC21" i="34"/>
  <c r="Y18" i="33"/>
  <c r="Y25" i="33"/>
  <c r="X32" i="34"/>
  <c r="AB28" i="34"/>
  <c r="AA21" i="33"/>
  <c r="AC8" i="34"/>
  <c r="Z34" i="34"/>
  <c r="Y38" i="34"/>
  <c r="Z56" i="33"/>
  <c r="Z5" i="33"/>
  <c r="Z27" i="33"/>
  <c r="Y19" i="33"/>
  <c r="AA6" i="32"/>
  <c r="X25" i="32"/>
  <c r="Y7" i="34"/>
  <c r="Z12" i="32"/>
  <c r="W23" i="31"/>
  <c r="X4" i="30"/>
  <c r="X15" i="31"/>
  <c r="AB6" i="29"/>
  <c r="AB12" i="29"/>
  <c r="AB11" i="29"/>
  <c r="AB13" i="29" s="1"/>
  <c r="AA21" i="30"/>
  <c r="AA34" i="31"/>
  <c r="Z38" i="31"/>
  <c r="AA56" i="30"/>
  <c r="AA5" i="30"/>
  <c r="AA27" i="30"/>
  <c r="AA24" i="30"/>
  <c r="AA27" i="31"/>
  <c r="AB12" i="31"/>
  <c r="AB36" i="30"/>
  <c r="AB39" i="30"/>
  <c r="AC12" i="29"/>
  <c r="Y25" i="30"/>
  <c r="X32" i="31"/>
  <c r="Y28" i="31"/>
  <c r="AB7" i="31"/>
  <c r="AC6" i="29"/>
  <c r="AC5" i="29"/>
  <c r="AC7" i="29" s="1"/>
  <c r="AC19" i="31"/>
  <c r="Z20" i="31"/>
  <c r="AB20" i="31"/>
  <c r="AA20" i="31"/>
  <c r="Z24" i="30"/>
  <c r="AB22" i="31"/>
  <c r="W24" i="29"/>
  <c r="AA37" i="31"/>
  <c r="AC22" i="31"/>
  <c r="X25" i="29"/>
  <c r="AB8" i="31"/>
  <c r="AA7" i="31"/>
  <c r="W23" i="28"/>
  <c r="X4" i="27"/>
  <c r="X15" i="28"/>
  <c r="Z22" i="28"/>
  <c r="AA22" i="28"/>
  <c r="AA20" i="28"/>
  <c r="AC20" i="28"/>
  <c r="Y11" i="26"/>
  <c r="Y13" i="26" s="1"/>
  <c r="AA37" i="28"/>
  <c r="Y40" i="28"/>
  <c r="Z18" i="27"/>
  <c r="AB12" i="28"/>
  <c r="AB36" i="27"/>
  <c r="AB39" i="27"/>
  <c r="AB20" i="28"/>
  <c r="X38" i="28"/>
  <c r="Z6" i="28"/>
  <c r="Z19" i="27"/>
  <c r="Y32" i="28"/>
  <c r="Z27" i="28"/>
  <c r="Y38" i="28"/>
  <c r="Z34" i="28"/>
  <c r="Z56" i="27"/>
  <c r="Z5" i="27"/>
  <c r="Z27" i="27"/>
  <c r="AB21" i="28"/>
  <c r="AC21" i="28"/>
  <c r="AB19" i="28"/>
  <c r="AC19" i="28"/>
  <c r="Y5" i="26"/>
  <c r="Y7" i="26" s="1"/>
  <c r="AA5" i="28"/>
  <c r="AA18" i="27"/>
  <c r="Y24" i="27"/>
  <c r="AA8" i="28"/>
  <c r="AB8" i="28"/>
  <c r="Z28" i="28"/>
  <c r="Z25" i="27"/>
  <c r="Y4" i="13"/>
  <c r="X23" i="15"/>
  <c r="Y25" i="32"/>
  <c r="Z7" i="34"/>
  <c r="Z5" i="34"/>
  <c r="AC21" i="33"/>
  <c r="AC12" i="34"/>
  <c r="AC36" i="33"/>
  <c r="AC39" i="33"/>
  <c r="AA22" i="34"/>
  <c r="AB22" i="34"/>
  <c r="AC22" i="34"/>
  <c r="AA7" i="34"/>
  <c r="AB7" i="34"/>
  <c r="AC7" i="34"/>
  <c r="X23" i="34"/>
  <c r="Y4" i="33"/>
  <c r="Y15" i="34"/>
  <c r="AB32" i="34"/>
  <c r="AA40" i="34"/>
  <c r="AA6" i="34"/>
  <c r="AA19" i="33"/>
  <c r="AA25" i="33"/>
  <c r="Z32" i="34"/>
  <c r="AA34" i="34"/>
  <c r="Z38" i="34"/>
  <c r="AA56" i="33"/>
  <c r="AA5" i="33"/>
  <c r="AA27" i="33"/>
  <c r="Z20" i="34"/>
  <c r="AA20" i="34"/>
  <c r="AB20" i="34"/>
  <c r="Y11" i="32"/>
  <c r="Y13" i="32" s="1"/>
  <c r="AB12" i="32"/>
  <c r="AB6" i="32"/>
  <c r="AB5" i="32"/>
  <c r="AB7" i="32" s="1"/>
  <c r="AB25" i="33"/>
  <c r="AA32" i="34"/>
  <c r="Z25" i="32"/>
  <c r="AA5" i="34"/>
  <c r="AC28" i="34"/>
  <c r="AC32" i="34"/>
  <c r="AC20" i="34"/>
  <c r="AC20" i="31"/>
  <c r="X23" i="31"/>
  <c r="Y4" i="30"/>
  <c r="Y15" i="31"/>
  <c r="AC7" i="31"/>
  <c r="X24" i="29"/>
  <c r="Y25" i="29"/>
  <c r="AC12" i="31"/>
  <c r="AC36" i="30"/>
  <c r="AC39" i="30"/>
  <c r="AC8" i="31"/>
  <c r="AC21" i="30"/>
  <c r="AA32" i="31"/>
  <c r="AB24" i="30"/>
  <c r="AB27" i="31"/>
  <c r="AA28" i="31"/>
  <c r="AB21" i="30"/>
  <c r="Y32" i="31"/>
  <c r="Z28" i="31"/>
  <c r="AB28" i="31"/>
  <c r="AB34" i="31"/>
  <c r="AA38" i="31"/>
  <c r="AB56" i="30"/>
  <c r="AB5" i="30"/>
  <c r="AB27" i="30"/>
  <c r="AB37" i="31"/>
  <c r="AC37" i="31"/>
  <c r="AB24" i="26"/>
  <c r="X23" i="28"/>
  <c r="Y4" i="27"/>
  <c r="Y15" i="28"/>
  <c r="AA21" i="27"/>
  <c r="AC28" i="28"/>
  <c r="Z24" i="27"/>
  <c r="AA6" i="28"/>
  <c r="AA19" i="27"/>
  <c r="AC12" i="28"/>
  <c r="AC36" i="27"/>
  <c r="AC39" i="27"/>
  <c r="AB37" i="28"/>
  <c r="AC37" i="28"/>
  <c r="AA27" i="28"/>
  <c r="AA25" i="27"/>
  <c r="AA28" i="28"/>
  <c r="AB28" i="28"/>
  <c r="AA34" i="28"/>
  <c r="AA56" i="27"/>
  <c r="AA5" i="27"/>
  <c r="AA27" i="27"/>
  <c r="Z38" i="28"/>
  <c r="Z40" i="28"/>
  <c r="AB22" i="28"/>
  <c r="AC22" i="28"/>
  <c r="AB5" i="28"/>
  <c r="AB21" i="27"/>
  <c r="Z32" i="28"/>
  <c r="AC8" i="28"/>
  <c r="AC21" i="27"/>
  <c r="Y15" i="15"/>
  <c r="Y23" i="34"/>
  <c r="Z4" i="33"/>
  <c r="Z15" i="34"/>
  <c r="AA25" i="32"/>
  <c r="AC25" i="33"/>
  <c r="AC6" i="32"/>
  <c r="AC12" i="32"/>
  <c r="AC11" i="32"/>
  <c r="AC13" i="32"/>
  <c r="AA38" i="34"/>
  <c r="AB34" i="34"/>
  <c r="AB56" i="33"/>
  <c r="AB5" i="33"/>
  <c r="AB27" i="33"/>
  <c r="AB6" i="34"/>
  <c r="AB19" i="33"/>
  <c r="AA18" i="33"/>
  <c r="AC5" i="34"/>
  <c r="AB5" i="34"/>
  <c r="AB25" i="32"/>
  <c r="AB24" i="32"/>
  <c r="AB18" i="33"/>
  <c r="AB40" i="34"/>
  <c r="Z18" i="33"/>
  <c r="AC28" i="31"/>
  <c r="AC25" i="30"/>
  <c r="Y23" i="31"/>
  <c r="Z4" i="30"/>
  <c r="Z15" i="31"/>
  <c r="AB25" i="30"/>
  <c r="AB38" i="31"/>
  <c r="AC34" i="31"/>
  <c r="AC38" i="31"/>
  <c r="AC56" i="30"/>
  <c r="AC5" i="30"/>
  <c r="AC27" i="30"/>
  <c r="AB32" i="31"/>
  <c r="AC27" i="31"/>
  <c r="AC32" i="31"/>
  <c r="Z25" i="30"/>
  <c r="Z25" i="29"/>
  <c r="Z24" i="29"/>
  <c r="AA25" i="30"/>
  <c r="Z32" i="31"/>
  <c r="Y23" i="28"/>
  <c r="Z4" i="27"/>
  <c r="Z15" i="28"/>
  <c r="AC18" i="27"/>
  <c r="AC5" i="28"/>
  <c r="AB18" i="27"/>
  <c r="AA32" i="28"/>
  <c r="AA24" i="27"/>
  <c r="AC25" i="27"/>
  <c r="AB25" i="27"/>
  <c r="AB27" i="28"/>
  <c r="AB24" i="27"/>
  <c r="AB6" i="28"/>
  <c r="AB19" i="27"/>
  <c r="AA38" i="28"/>
  <c r="AB34" i="28"/>
  <c r="AB56" i="27"/>
  <c r="AB5" i="27"/>
  <c r="AB27" i="27"/>
  <c r="AA40" i="28"/>
  <c r="Z4" i="13"/>
  <c r="Y23" i="15"/>
  <c r="Z23" i="34"/>
  <c r="AA4" i="33"/>
  <c r="AA15" i="34"/>
  <c r="AB38" i="34"/>
  <c r="AC34" i="34"/>
  <c r="AC38" i="34"/>
  <c r="AC56" i="33"/>
  <c r="AC5" i="33"/>
  <c r="AC27" i="33"/>
  <c r="AC25" i="32"/>
  <c r="AC40" i="34"/>
  <c r="AC18" i="33"/>
  <c r="AC6" i="34"/>
  <c r="AC19" i="33"/>
  <c r="Z23" i="31"/>
  <c r="AA4" i="30"/>
  <c r="AA15" i="31"/>
  <c r="AC24" i="30"/>
  <c r="AA25" i="29"/>
  <c r="Z23" i="28"/>
  <c r="AA4" i="27"/>
  <c r="AA15" i="28"/>
  <c r="AB40" i="28"/>
  <c r="AC34" i="28"/>
  <c r="AC38" i="28"/>
  <c r="AB38" i="28"/>
  <c r="AC6" i="28"/>
  <c r="AC19" i="27"/>
  <c r="AB32" i="28"/>
  <c r="AC24" i="27"/>
  <c r="AC27" i="28"/>
  <c r="AC32" i="28"/>
  <c r="Z15" i="15"/>
  <c r="AA23" i="34"/>
  <c r="AB4" i="33"/>
  <c r="AA23" i="31"/>
  <c r="AB4" i="30"/>
  <c r="AB15" i="31"/>
  <c r="AA24" i="29"/>
  <c r="AB25" i="29"/>
  <c r="AA23" i="28"/>
  <c r="AB4" i="27"/>
  <c r="AB15" i="28"/>
  <c r="AC56" i="27"/>
  <c r="AC5" i="27"/>
  <c r="AC27" i="27"/>
  <c r="AC40" i="28"/>
  <c r="AA4" i="13"/>
  <c r="Z23" i="15"/>
  <c r="AA15" i="15"/>
  <c r="AB15" i="34"/>
  <c r="AB23" i="31"/>
  <c r="AC4" i="30"/>
  <c r="AC15" i="31"/>
  <c r="AC23" i="31"/>
  <c r="AC25" i="29"/>
  <c r="AB23" i="28"/>
  <c r="AC4" i="27"/>
  <c r="AB4" i="13"/>
  <c r="AA23" i="15"/>
  <c r="AB15" i="15"/>
  <c r="AB23" i="34"/>
  <c r="AC4" i="33"/>
  <c r="AC15" i="28"/>
  <c r="AC23" i="28"/>
  <c r="AB23" i="15"/>
  <c r="AC4" i="13"/>
  <c r="AC15" i="34"/>
  <c r="AC23" i="34"/>
  <c r="AC15" i="15"/>
  <c r="AC23" i="15"/>
  <c r="D25" i="25" l="1"/>
  <c r="D12" i="25"/>
  <c r="C55" i="25"/>
  <c r="T46" i="32"/>
  <c r="V3" i="32"/>
  <c r="V5" i="32" s="1"/>
  <c r="V7" i="32" s="1"/>
  <c r="X22" i="32"/>
  <c r="X24" i="32" s="1"/>
  <c r="Y22" i="32"/>
  <c r="Y24" i="32" s="1"/>
  <c r="G69" i="10"/>
  <c r="O69" i="10"/>
  <c r="Z61" i="26"/>
  <c r="AA61" i="26" s="1"/>
  <c r="AB61" i="26" s="1"/>
  <c r="AC61" i="26" s="1"/>
  <c r="Z62" i="26"/>
  <c r="AA62" i="26" s="1"/>
  <c r="AB62" i="26" s="1"/>
  <c r="AC62" i="26" s="1"/>
  <c r="Z63" i="26"/>
  <c r="M69" i="32"/>
  <c r="Z63" i="32"/>
  <c r="U66" i="32"/>
  <c r="U67" i="32" s="1"/>
  <c r="U68" i="32" s="1"/>
  <c r="U48" i="32"/>
  <c r="AA63" i="32"/>
  <c r="AB63" i="32" s="1"/>
  <c r="AC63" i="32" s="1"/>
  <c r="AA69" i="32"/>
  <c r="AB69" i="32"/>
  <c r="Z69" i="32"/>
  <c r="AC69" i="32"/>
  <c r="V69" i="32"/>
  <c r="Y22" i="29"/>
  <c r="Y24" i="29" s="1"/>
  <c r="R69" i="32"/>
  <c r="N69" i="32"/>
  <c r="W10" i="10"/>
  <c r="W9" i="10" s="1"/>
  <c r="W11" i="10" s="1"/>
  <c r="W13" i="10" s="1"/>
  <c r="Z61" i="10"/>
  <c r="AA61" i="10" s="1"/>
  <c r="AB61" i="10" s="1"/>
  <c r="AC61" i="10" s="1"/>
  <c r="Z62" i="10"/>
  <c r="AA62" i="10" s="1"/>
  <c r="AB62" i="10" s="1"/>
  <c r="AC62" i="10" s="1"/>
  <c r="Z63" i="10"/>
  <c r="AB69" i="10" s="1"/>
  <c r="I69" i="10"/>
  <c r="Q69" i="10"/>
  <c r="U22" i="26"/>
  <c r="U24" i="26" s="1"/>
  <c r="V22" i="26"/>
  <c r="V24" i="26" s="1"/>
  <c r="V3" i="29"/>
  <c r="V5" i="29" s="1"/>
  <c r="V7" i="29" s="1"/>
  <c r="U3" i="32"/>
  <c r="U5" i="32" s="1"/>
  <c r="U7" i="32" s="1"/>
  <c r="AB5" i="29"/>
  <c r="AB7" i="29" s="1"/>
  <c r="AA22" i="32"/>
  <c r="AA24" i="32" s="1"/>
  <c r="W69" i="32"/>
  <c r="U47" i="26"/>
  <c r="AB3" i="26"/>
  <c r="AB5" i="26" s="1"/>
  <c r="AB7" i="26" s="1"/>
  <c r="Y47" i="29"/>
  <c r="AC47" i="32"/>
  <c r="C69" i="10"/>
  <c r="K69" i="10"/>
  <c r="S69" i="10"/>
  <c r="W69" i="10"/>
  <c r="Y3" i="10"/>
  <c r="Y5" i="10" s="1"/>
  <c r="Y7" i="10" s="1"/>
  <c r="V10" i="26"/>
  <c r="V9" i="26" s="1"/>
  <c r="V11" i="26" s="1"/>
  <c r="V13" i="26" s="1"/>
  <c r="Y47" i="26"/>
  <c r="Z3" i="26"/>
  <c r="Z5" i="26" s="1"/>
  <c r="Z7" i="26" s="1"/>
  <c r="U10" i="32"/>
  <c r="U9" i="32" s="1"/>
  <c r="U11" i="32" s="1"/>
  <c r="U13" i="32" s="1"/>
  <c r="O69" i="32"/>
  <c r="T22" i="26"/>
  <c r="T24" i="26" s="1"/>
  <c r="T22" i="29"/>
  <c r="T24" i="29" s="1"/>
  <c r="AC22" i="29"/>
  <c r="AC24" i="29" s="1"/>
  <c r="Z3" i="32"/>
  <c r="Z5" i="32" s="1"/>
  <c r="Z7" i="32" s="1"/>
  <c r="X10" i="10"/>
  <c r="X9" i="10" s="1"/>
  <c r="X11" i="10" s="1"/>
  <c r="X13" i="10" s="1"/>
  <c r="X22" i="10"/>
  <c r="X24" i="10" s="1"/>
  <c r="V22" i="10"/>
  <c r="V24" i="10" s="1"/>
  <c r="E69" i="10"/>
  <c r="M69" i="10"/>
  <c r="T69" i="10"/>
  <c r="Y69" i="10"/>
  <c r="Z22" i="10"/>
  <c r="Z24" i="10" s="1"/>
  <c r="Z62" i="29"/>
  <c r="AA62" i="29" s="1"/>
  <c r="AB62" i="29" s="1"/>
  <c r="AC62" i="29" s="1"/>
  <c r="U22" i="32"/>
  <c r="U24" i="32" s="1"/>
  <c r="U57" i="32" s="1"/>
  <c r="V13" i="29"/>
  <c r="T48" i="32"/>
  <c r="T57" i="32" s="1"/>
  <c r="T66" i="32"/>
  <c r="T67" i="32" s="1"/>
  <c r="T68" i="32" s="1"/>
  <c r="Z17" i="24"/>
  <c r="Y16" i="24" s="1"/>
  <c r="Z29" i="24"/>
  <c r="Y28" i="24" s="1"/>
  <c r="AC5" i="26"/>
  <c r="Z24" i="26"/>
  <c r="AA5" i="26"/>
  <c r="AA7" i="26" s="1"/>
  <c r="Z5" i="10"/>
  <c r="Z7" i="10" s="1"/>
  <c r="V7" i="10"/>
  <c r="AB22" i="10"/>
  <c r="AC47" i="10"/>
  <c r="AB70" i="10"/>
  <c r="AA11" i="10"/>
  <c r="AA13" i="10" s="1"/>
  <c r="T70" i="10"/>
  <c r="U47" i="10"/>
  <c r="AA70" i="26"/>
  <c r="AA22" i="26"/>
  <c r="AA24" i="26" s="1"/>
  <c r="AC47" i="26"/>
  <c r="T48" i="29"/>
  <c r="T66" i="29"/>
  <c r="T67" i="29" s="1"/>
  <c r="T68" i="29" s="1"/>
  <c r="W5" i="10"/>
  <c r="W7" i="10" s="1"/>
  <c r="AC11" i="10"/>
  <c r="U46" i="29"/>
  <c r="V17" i="24"/>
  <c r="U16" i="24" s="1"/>
  <c r="X3" i="10"/>
  <c r="Y10" i="10"/>
  <c r="Y9" i="10" s="1"/>
  <c r="Y11" i="10" s="1"/>
  <c r="AA63" i="10"/>
  <c r="AB63" i="10" s="1"/>
  <c r="AC63" i="10" s="1"/>
  <c r="AC69" i="10"/>
  <c r="Z69" i="10"/>
  <c r="Y3" i="29"/>
  <c r="Z10" i="29"/>
  <c r="Z9" i="29" s="1"/>
  <c r="E43" i="25"/>
  <c r="T23" i="24"/>
  <c r="S22" i="24" s="1"/>
  <c r="V9" i="31" s="1"/>
  <c r="W23" i="30" s="1"/>
  <c r="Z23" i="24"/>
  <c r="Y22" i="24" s="1"/>
  <c r="AB9" i="31" s="1"/>
  <c r="S9" i="24"/>
  <c r="R8" i="24" s="1"/>
  <c r="U9" i="15" s="1"/>
  <c r="U70" i="29"/>
  <c r="U22" i="29"/>
  <c r="U24" i="29" s="1"/>
  <c r="X9" i="24"/>
  <c r="W8" i="24" s="1"/>
  <c r="Z9" i="15" s="1"/>
  <c r="Y17" i="24"/>
  <c r="X16" i="24" s="1"/>
  <c r="U23" i="24"/>
  <c r="T22" i="24" s="1"/>
  <c r="W9" i="31" s="1"/>
  <c r="X23" i="24"/>
  <c r="W22" i="24" s="1"/>
  <c r="Z9" i="31" s="1"/>
  <c r="AA23" i="30" s="1"/>
  <c r="Q9" i="24"/>
  <c r="T5" i="10"/>
  <c r="T7" i="10" s="1"/>
  <c r="W22" i="10"/>
  <c r="W24" i="10" s="1"/>
  <c r="W70" i="10"/>
  <c r="Y47" i="10"/>
  <c r="X10" i="26"/>
  <c r="X9" i="26" s="1"/>
  <c r="X11" i="26" s="1"/>
  <c r="W3" i="26"/>
  <c r="V29" i="24"/>
  <c r="U28" i="24" s="1"/>
  <c r="R9" i="24"/>
  <c r="Q8" i="24" s="1"/>
  <c r="T9" i="15" s="1"/>
  <c r="AA70" i="10"/>
  <c r="D69" i="10"/>
  <c r="H69" i="10"/>
  <c r="L69" i="10"/>
  <c r="P69" i="10"/>
  <c r="U69" i="10"/>
  <c r="V69" i="10"/>
  <c r="T3" i="26"/>
  <c r="AB70" i="26"/>
  <c r="U10" i="29"/>
  <c r="U9" i="29" s="1"/>
  <c r="T3" i="29"/>
  <c r="Z9" i="24"/>
  <c r="Y8" i="24" s="1"/>
  <c r="AB9" i="15" s="1"/>
  <c r="U5" i="10"/>
  <c r="U7" i="10" s="1"/>
  <c r="R29" i="24"/>
  <c r="Q28" i="24" s="1"/>
  <c r="W17" i="24"/>
  <c r="F43" i="25"/>
  <c r="D69" i="32"/>
  <c r="E69" i="32"/>
  <c r="Y9" i="24"/>
  <c r="X8" i="24" s="1"/>
  <c r="AA9" i="15" s="1"/>
  <c r="Z10" i="32"/>
  <c r="Z9" i="32" s="1"/>
  <c r="Y3" i="32"/>
  <c r="S23" i="24" l="1"/>
  <c r="R22" i="24" s="1"/>
  <c r="U9" i="31" s="1"/>
  <c r="W29" i="24"/>
  <c r="AA69" i="10"/>
  <c r="R17" i="24"/>
  <c r="Q16" i="24" s="1"/>
  <c r="AA63" i="26"/>
  <c r="AB63" i="26" s="1"/>
  <c r="AC63" i="26" s="1"/>
  <c r="AC69" i="26"/>
  <c r="AB69" i="26"/>
  <c r="AA69" i="26"/>
  <c r="Z69" i="26"/>
  <c r="S29" i="24"/>
  <c r="R28" i="24" s="1"/>
  <c r="S17" i="24"/>
  <c r="R16" i="24" s="1"/>
  <c r="U9" i="34" s="1"/>
  <c r="U46" i="26"/>
  <c r="T46" i="26"/>
  <c r="W9" i="24"/>
  <c r="AA9" i="24" s="1"/>
  <c r="Z8" i="24" s="1"/>
  <c r="AC9" i="15" s="1"/>
  <c r="AC23" i="13" s="1"/>
  <c r="V23" i="30"/>
  <c r="Y29" i="24"/>
  <c r="X28" i="24" s="1"/>
  <c r="U17" i="24"/>
  <c r="T16" i="24" s="1"/>
  <c r="W9" i="28" s="1"/>
  <c r="E44" i="25"/>
  <c r="T2" i="33"/>
  <c r="U58" i="32"/>
  <c r="U66" i="29"/>
  <c r="U67" i="29" s="1"/>
  <c r="U68" i="29" s="1"/>
  <c r="Y67" i="29" s="1"/>
  <c r="U48" i="29"/>
  <c r="T29" i="24"/>
  <c r="S28" i="24" s="1"/>
  <c r="T17" i="24"/>
  <c r="S16" i="24" s="1"/>
  <c r="W5" i="26"/>
  <c r="AB23" i="13"/>
  <c r="AA23" i="13"/>
  <c r="F29" i="25"/>
  <c r="U9" i="24"/>
  <c r="T8" i="24" s="1"/>
  <c r="W9" i="15" s="1"/>
  <c r="X5" i="10"/>
  <c r="X17" i="24"/>
  <c r="W16" i="24" s="1"/>
  <c r="Y5" i="32"/>
  <c r="V28" i="24"/>
  <c r="AA29" i="24"/>
  <c r="Z28" i="24" s="1"/>
  <c r="V9" i="24"/>
  <c r="U8" i="24" s="1"/>
  <c r="X9" i="15" s="1"/>
  <c r="U11" i="29"/>
  <c r="U13" i="29" s="1"/>
  <c r="R23" i="24"/>
  <c r="Q22" i="24" s="1"/>
  <c r="T9" i="31" s="1"/>
  <c r="Q29" i="24"/>
  <c r="Q17" i="24"/>
  <c r="E16" i="25"/>
  <c r="T5" i="26"/>
  <c r="T23" i="13"/>
  <c r="U23" i="13"/>
  <c r="X9" i="28"/>
  <c r="X9" i="34"/>
  <c r="AB24" i="10"/>
  <c r="X29" i="24"/>
  <c r="W28" i="24" s="1"/>
  <c r="AC7" i="26"/>
  <c r="W67" i="32"/>
  <c r="X67" i="32"/>
  <c r="V67" i="32"/>
  <c r="Y67" i="32"/>
  <c r="Z11" i="29"/>
  <c r="F44" i="25"/>
  <c r="U2" i="33"/>
  <c r="W23" i="24"/>
  <c r="AA9" i="28"/>
  <c r="AA9" i="34"/>
  <c r="V23" i="24"/>
  <c r="U22" i="24" s="1"/>
  <c r="X9" i="31" s="1"/>
  <c r="Y5" i="29"/>
  <c r="Y13" i="10"/>
  <c r="U29" i="24"/>
  <c r="T28" i="24" s="1"/>
  <c r="T9" i="24"/>
  <c r="S8" i="24" s="1"/>
  <c r="V9" i="15" s="1"/>
  <c r="Z11" i="32"/>
  <c r="AB23" i="30"/>
  <c r="T9" i="28"/>
  <c r="T9" i="34"/>
  <c r="V16" i="24"/>
  <c r="AA17" i="24"/>
  <c r="Z16" i="24" s="1"/>
  <c r="Q23" i="24"/>
  <c r="E29" i="25"/>
  <c r="T5" i="29"/>
  <c r="X13" i="26"/>
  <c r="AC13" i="10"/>
  <c r="T46" i="10"/>
  <c r="U46" i="10"/>
  <c r="AB9" i="28"/>
  <c r="AB9" i="34"/>
  <c r="E66" i="25" l="1"/>
  <c r="W23" i="13"/>
  <c r="V67" i="29"/>
  <c r="U57" i="29"/>
  <c r="U9" i="28"/>
  <c r="AB23" i="33"/>
  <c r="U66" i="26"/>
  <c r="U67" i="26" s="1"/>
  <c r="U68" i="26" s="1"/>
  <c r="U48" i="26"/>
  <c r="U57" i="26" s="1"/>
  <c r="F16" i="25"/>
  <c r="Y23" i="13"/>
  <c r="V8" i="24"/>
  <c r="Y9" i="15" s="1"/>
  <c r="Z23" i="13" s="1"/>
  <c r="W9" i="34"/>
  <c r="X23" i="33" s="1"/>
  <c r="T66" i="26"/>
  <c r="T67" i="26" s="1"/>
  <c r="T68" i="26" s="1"/>
  <c r="T48" i="26"/>
  <c r="T57" i="26" s="1"/>
  <c r="T57" i="29"/>
  <c r="T7" i="29"/>
  <c r="N3" i="24"/>
  <c r="T66" i="10"/>
  <c r="T67" i="10" s="1"/>
  <c r="T68" i="10" s="1"/>
  <c r="T48" i="10"/>
  <c r="T57" i="10" s="1"/>
  <c r="E2" i="25"/>
  <c r="T23" i="27"/>
  <c r="U23" i="27"/>
  <c r="V22" i="24"/>
  <c r="Y9" i="31" s="1"/>
  <c r="Z23" i="30" s="1"/>
  <c r="AA23" i="24"/>
  <c r="Z22" i="24" s="1"/>
  <c r="AC9" i="31" s="1"/>
  <c r="AC23" i="30" s="1"/>
  <c r="Z67" i="32"/>
  <c r="Z66" i="32" s="1"/>
  <c r="Z46" i="32" s="1"/>
  <c r="V66" i="32"/>
  <c r="V46" i="32" s="1"/>
  <c r="X67" i="29"/>
  <c r="AC9" i="34"/>
  <c r="AC23" i="33" s="1"/>
  <c r="AC9" i="28"/>
  <c r="AC23" i="27" s="1"/>
  <c r="V23" i="13"/>
  <c r="X23" i="27"/>
  <c r="AB67" i="32"/>
  <c r="AB66" i="32" s="1"/>
  <c r="AB46" i="32" s="1"/>
  <c r="X66" i="32"/>
  <c r="X46" i="32" s="1"/>
  <c r="W67" i="29"/>
  <c r="X23" i="13"/>
  <c r="W7" i="26"/>
  <c r="Z13" i="32"/>
  <c r="U16" i="33"/>
  <c r="U28" i="33"/>
  <c r="U58" i="33" s="1"/>
  <c r="F45" i="25" s="1"/>
  <c r="F30" i="25"/>
  <c r="U2" i="30"/>
  <c r="T7" i="26"/>
  <c r="Z9" i="28"/>
  <c r="AA23" i="27" s="1"/>
  <c r="Z9" i="34"/>
  <c r="AA23" i="33" s="1"/>
  <c r="AC67" i="29"/>
  <c r="AC66" i="29" s="1"/>
  <c r="AC46" i="29" s="1"/>
  <c r="Y66" i="29"/>
  <c r="Y46" i="29" s="1"/>
  <c r="T28" i="33"/>
  <c r="T58" i="33" s="1"/>
  <c r="T16" i="33"/>
  <c r="T46" i="34"/>
  <c r="Y9" i="34"/>
  <c r="Y9" i="28"/>
  <c r="AA67" i="32"/>
  <c r="AA66" i="32" s="1"/>
  <c r="AA46" i="32" s="1"/>
  <c r="W66" i="32"/>
  <c r="W46" i="32" s="1"/>
  <c r="T23" i="30"/>
  <c r="U23" i="30"/>
  <c r="Z67" i="29"/>
  <c r="Z66" i="29" s="1"/>
  <c r="Z46" i="29" s="1"/>
  <c r="V66" i="29"/>
  <c r="V46" i="29" s="1"/>
  <c r="U48" i="10"/>
  <c r="U57" i="10" s="1"/>
  <c r="U66" i="10"/>
  <c r="U67" i="10" s="1"/>
  <c r="U68" i="10" s="1"/>
  <c r="F2" i="25"/>
  <c r="U23" i="33"/>
  <c r="T23" i="33"/>
  <c r="Y7" i="29"/>
  <c r="AB23" i="27"/>
  <c r="Z13" i="29"/>
  <c r="Y66" i="32"/>
  <c r="Y46" i="32" s="1"/>
  <c r="AC67" i="32"/>
  <c r="AC66" i="32" s="1"/>
  <c r="AC46" i="32" s="1"/>
  <c r="Y23" i="33"/>
  <c r="X23" i="30"/>
  <c r="Y7" i="32"/>
  <c r="X7" i="10"/>
  <c r="V9" i="28"/>
  <c r="W23" i="27" s="1"/>
  <c r="V9" i="34"/>
  <c r="Z23" i="33" l="1"/>
  <c r="Y67" i="26"/>
  <c r="W23" i="33"/>
  <c r="W67" i="26"/>
  <c r="V67" i="26"/>
  <c r="X67" i="26"/>
  <c r="U2" i="27"/>
  <c r="F17" i="25"/>
  <c r="AC67" i="26"/>
  <c r="AC66" i="26" s="1"/>
  <c r="AC46" i="26" s="1"/>
  <c r="Y66" i="26"/>
  <c r="Y46" i="26" s="1"/>
  <c r="F46" i="25"/>
  <c r="F58" i="25" s="1"/>
  <c r="U46" i="34"/>
  <c r="T47" i="34"/>
  <c r="E3" i="25"/>
  <c r="T2" i="13"/>
  <c r="U58" i="10"/>
  <c r="AC48" i="32"/>
  <c r="AC57" i="32" s="1"/>
  <c r="N43" i="25"/>
  <c r="V48" i="29"/>
  <c r="V57" i="29" s="1"/>
  <c r="G29" i="25"/>
  <c r="E17" i="25"/>
  <c r="C66" i="25" s="1"/>
  <c r="U58" i="26"/>
  <c r="T2" i="27"/>
  <c r="AB67" i="29"/>
  <c r="AB66" i="29" s="1"/>
  <c r="AB46" i="29" s="1"/>
  <c r="X66" i="29"/>
  <c r="X46" i="29" s="1"/>
  <c r="V23" i="27"/>
  <c r="Y48" i="32"/>
  <c r="Y57" i="32" s="1"/>
  <c r="J43" i="25"/>
  <c r="Z48" i="29"/>
  <c r="Z57" i="29" s="1"/>
  <c r="K29" i="25"/>
  <c r="Y67" i="10"/>
  <c r="L43" i="25"/>
  <c r="AA48" i="32"/>
  <c r="AA57" i="32" s="1"/>
  <c r="F36" i="25"/>
  <c r="U16" i="30"/>
  <c r="U28" i="30"/>
  <c r="U58" i="30"/>
  <c r="F31" i="25" s="1"/>
  <c r="AA67" i="29"/>
  <c r="AA66" i="29" s="1"/>
  <c r="AA46" i="29" s="1"/>
  <c r="V21" i="24" s="1"/>
  <c r="W66" i="29"/>
  <c r="W46" i="29" s="1"/>
  <c r="V23" i="33"/>
  <c r="V48" i="32"/>
  <c r="V57" i="32" s="1"/>
  <c r="G43" i="25"/>
  <c r="U58" i="29"/>
  <c r="T2" i="30"/>
  <c r="E30" i="25"/>
  <c r="D66" i="25" s="1"/>
  <c r="Y48" i="29"/>
  <c r="Y57" i="29" s="1"/>
  <c r="J29" i="25"/>
  <c r="Z48" i="32"/>
  <c r="Z57" i="32" s="1"/>
  <c r="K43" i="25"/>
  <c r="N29" i="25"/>
  <c r="AC48" i="29"/>
  <c r="AC57" i="29" s="1"/>
  <c r="X48" i="32"/>
  <c r="X57" i="32" s="1"/>
  <c r="I43" i="25"/>
  <c r="F3" i="25"/>
  <c r="U2" i="13"/>
  <c r="E45" i="25"/>
  <c r="U59" i="33"/>
  <c r="X67" i="10"/>
  <c r="V67" i="10"/>
  <c r="W67" i="10"/>
  <c r="W48" i="32"/>
  <c r="W57" i="32" s="1"/>
  <c r="H43" i="25"/>
  <c r="Z23" i="27"/>
  <c r="AB48" i="32"/>
  <c r="AB57" i="32" s="1"/>
  <c r="M43" i="25"/>
  <c r="Y23" i="27"/>
  <c r="Y23" i="30"/>
  <c r="N27" i="24"/>
  <c r="N21" i="24"/>
  <c r="N4" i="24"/>
  <c r="B5" i="24" s="1"/>
  <c r="N15" i="24"/>
  <c r="O3" i="24"/>
  <c r="B66" i="25" l="1"/>
  <c r="R21" i="24"/>
  <c r="Y48" i="26"/>
  <c r="Y57" i="26" s="1"/>
  <c r="J16" i="25"/>
  <c r="AA67" i="26"/>
  <c r="AA66" i="26" s="1"/>
  <c r="AA46" i="26" s="1"/>
  <c r="W66" i="26"/>
  <c r="W46" i="26" s="1"/>
  <c r="AC48" i="26"/>
  <c r="AC57" i="26" s="1"/>
  <c r="N16" i="25"/>
  <c r="U28" i="27"/>
  <c r="U58" i="27" s="1"/>
  <c r="F18" i="25" s="1"/>
  <c r="F19" i="25" s="1"/>
  <c r="F56" i="25" s="1"/>
  <c r="U16" i="27"/>
  <c r="X66" i="26"/>
  <c r="X46" i="26" s="1"/>
  <c r="AB67" i="26"/>
  <c r="AB66" i="26" s="1"/>
  <c r="AB46" i="26" s="1"/>
  <c r="V66" i="26"/>
  <c r="V46" i="26" s="1"/>
  <c r="Z67" i="26"/>
  <c r="Z66" i="26" s="1"/>
  <c r="Z46" i="26" s="1"/>
  <c r="W21" i="24"/>
  <c r="S21" i="24"/>
  <c r="H44" i="25"/>
  <c r="W2" i="33"/>
  <c r="N30" i="25"/>
  <c r="AC2" i="30"/>
  <c r="F32" i="25"/>
  <c r="F57" i="25" s="1"/>
  <c r="AA2" i="33"/>
  <c r="L44" i="25"/>
  <c r="E9" i="25"/>
  <c r="T16" i="13"/>
  <c r="T28" i="13"/>
  <c r="T58" i="13" s="1"/>
  <c r="O21" i="24"/>
  <c r="O4" i="24"/>
  <c r="C5" i="24" s="1"/>
  <c r="O15" i="24"/>
  <c r="P3" i="24"/>
  <c r="O27" i="24"/>
  <c r="AA67" i="10"/>
  <c r="AA66" i="10" s="1"/>
  <c r="AA46" i="10" s="1"/>
  <c r="W66" i="10"/>
  <c r="W46" i="10" s="1"/>
  <c r="E46" i="25"/>
  <c r="E50" i="25"/>
  <c r="E51" i="25"/>
  <c r="F51" i="25"/>
  <c r="E72" i="25" s="1"/>
  <c r="J30" i="25"/>
  <c r="Y2" i="30"/>
  <c r="Z2" i="30"/>
  <c r="K30" i="25"/>
  <c r="X48" i="29"/>
  <c r="X57" i="29" s="1"/>
  <c r="I29" i="25"/>
  <c r="U16" i="13"/>
  <c r="F9" i="25"/>
  <c r="U28" i="13"/>
  <c r="U58" i="13" s="1"/>
  <c r="F4" i="25" s="1"/>
  <c r="G44" i="25"/>
  <c r="V2" i="33"/>
  <c r="Y58" i="32"/>
  <c r="W48" i="29"/>
  <c r="W57" i="29" s="1"/>
  <c r="Y58" i="29" s="1"/>
  <c r="H29" i="25"/>
  <c r="AC67" i="10"/>
  <c r="AC66" i="10" s="1"/>
  <c r="AC46" i="10" s="1"/>
  <c r="Y66" i="10"/>
  <c r="Y46" i="10" s="1"/>
  <c r="M29" i="25"/>
  <c r="AB48" i="29"/>
  <c r="AB57" i="29" s="1"/>
  <c r="AC2" i="33"/>
  <c r="N44" i="25"/>
  <c r="E48" i="25"/>
  <c r="T51" i="34"/>
  <c r="T49" i="34"/>
  <c r="Z67" i="10"/>
  <c r="Z66" i="10" s="1"/>
  <c r="Z46" i="10" s="1"/>
  <c r="V66" i="10"/>
  <c r="V46" i="10" s="1"/>
  <c r="M44" i="25"/>
  <c r="AB2" i="33"/>
  <c r="AB67" i="10"/>
  <c r="AB66" i="10" s="1"/>
  <c r="AB46" i="10" s="1"/>
  <c r="X66" i="10"/>
  <c r="X46" i="10" s="1"/>
  <c r="I44" i="25"/>
  <c r="X2" i="33"/>
  <c r="K44" i="25"/>
  <c r="E68" i="25" s="1"/>
  <c r="Z2" i="33"/>
  <c r="AC58" i="32"/>
  <c r="E36" i="25"/>
  <c r="T28" i="30"/>
  <c r="T46" i="31" s="1"/>
  <c r="T16" i="30"/>
  <c r="AA48" i="29"/>
  <c r="AA57" i="29" s="1"/>
  <c r="L29" i="25"/>
  <c r="J44" i="25"/>
  <c r="Y2" i="33"/>
  <c r="T28" i="27"/>
  <c r="T58" i="27" s="1"/>
  <c r="T16" i="27"/>
  <c r="T46" i="28"/>
  <c r="G30" i="25"/>
  <c r="V2" i="30"/>
  <c r="U47" i="34"/>
  <c r="E67" i="25" l="1"/>
  <c r="E58" i="25"/>
  <c r="E69" i="25"/>
  <c r="T46" i="15"/>
  <c r="T58" i="30"/>
  <c r="M16" i="25"/>
  <c r="AB48" i="26"/>
  <c r="AB57" i="26" s="1"/>
  <c r="N17" i="25"/>
  <c r="AC2" i="27"/>
  <c r="W48" i="26"/>
  <c r="W57" i="26" s="1"/>
  <c r="H16" i="25"/>
  <c r="G16" i="25"/>
  <c r="R27" i="24"/>
  <c r="S27" i="24" s="1"/>
  <c r="T27" i="24" s="1"/>
  <c r="U27" i="24" s="1"/>
  <c r="V48" i="26"/>
  <c r="V57" i="26" s="1"/>
  <c r="R15" i="24"/>
  <c r="S15" i="24" s="1"/>
  <c r="T15" i="24" s="1"/>
  <c r="U15" i="24" s="1"/>
  <c r="X48" i="26"/>
  <c r="X57" i="26" s="1"/>
  <c r="I16" i="25"/>
  <c r="AA48" i="26"/>
  <c r="AA57" i="26" s="1"/>
  <c r="L16" i="25"/>
  <c r="Y2" i="27"/>
  <c r="J17" i="25"/>
  <c r="Z48" i="26"/>
  <c r="Z57" i="26" s="1"/>
  <c r="K16" i="25"/>
  <c r="V15" i="24"/>
  <c r="W15" i="24" s="1"/>
  <c r="X15" i="24" s="1"/>
  <c r="Y15" i="24" s="1"/>
  <c r="V27" i="24"/>
  <c r="W27" i="24" s="1"/>
  <c r="X27" i="24" s="1"/>
  <c r="AC58" i="29"/>
  <c r="E4" i="25"/>
  <c r="U59" i="13"/>
  <c r="U46" i="31"/>
  <c r="T47" i="31"/>
  <c r="E18" i="25"/>
  <c r="U59" i="27"/>
  <c r="U46" i="28"/>
  <c r="T47" i="28"/>
  <c r="E31" i="25"/>
  <c r="U59" i="30"/>
  <c r="X48" i="10"/>
  <c r="X57" i="10" s="1"/>
  <c r="I2" i="25"/>
  <c r="T53" i="34"/>
  <c r="T55" i="34"/>
  <c r="E47" i="25" s="1"/>
  <c r="E52" i="25" s="1"/>
  <c r="Z16" i="33"/>
  <c r="Z28" i="33"/>
  <c r="Z58" i="33" s="1"/>
  <c r="AB48" i="10"/>
  <c r="AB57" i="10" s="1"/>
  <c r="M2" i="25"/>
  <c r="V48" i="10"/>
  <c r="V57" i="10" s="1"/>
  <c r="R3" i="24"/>
  <c r="G2" i="25"/>
  <c r="F5" i="25"/>
  <c r="F55" i="25" s="1"/>
  <c r="W48" i="10"/>
  <c r="W57" i="10" s="1"/>
  <c r="H2" i="25"/>
  <c r="W16" i="33"/>
  <c r="W28" i="33"/>
  <c r="W58" i="33" s="1"/>
  <c r="H45" i="25" s="1"/>
  <c r="F48" i="25"/>
  <c r="U49" i="34"/>
  <c r="U51" i="34"/>
  <c r="Y16" i="33"/>
  <c r="Y28" i="33"/>
  <c r="Y58" i="33" s="1"/>
  <c r="J45" i="25" s="1"/>
  <c r="L30" i="25"/>
  <c r="D68" i="25" s="1"/>
  <c r="AA2" i="30"/>
  <c r="AB16" i="33"/>
  <c r="AB28" i="33"/>
  <c r="AB58" i="33" s="1"/>
  <c r="M45" i="25" s="1"/>
  <c r="V3" i="24"/>
  <c r="Z48" i="10"/>
  <c r="Z57" i="10" s="1"/>
  <c r="K2" i="25"/>
  <c r="Y48" i="10"/>
  <c r="Y57" i="10" s="1"/>
  <c r="J2" i="25"/>
  <c r="H30" i="25"/>
  <c r="D67" i="25" s="1"/>
  <c r="W2" i="30"/>
  <c r="AA48" i="10"/>
  <c r="AA57" i="10" s="1"/>
  <c r="L2" i="25"/>
  <c r="AA28" i="33"/>
  <c r="AA58" i="33" s="1"/>
  <c r="L45" i="25" s="1"/>
  <c r="AA16" i="33"/>
  <c r="X21" i="24"/>
  <c r="X28" i="33"/>
  <c r="X58" i="33" s="1"/>
  <c r="I45" i="25" s="1"/>
  <c r="X16" i="33"/>
  <c r="T50" i="34"/>
  <c r="F50" i="25"/>
  <c r="AC28" i="33"/>
  <c r="AC58" i="33" s="1"/>
  <c r="N45" i="25" s="1"/>
  <c r="AC16" i="33"/>
  <c r="AC48" i="10"/>
  <c r="AC57" i="10" s="1"/>
  <c r="N2" i="25"/>
  <c r="K36" i="25"/>
  <c r="Z16" i="30"/>
  <c r="Z28" i="30"/>
  <c r="Z58" i="30" s="1"/>
  <c r="U46" i="15"/>
  <c r="T47" i="15"/>
  <c r="AC28" i="30"/>
  <c r="AC58" i="30" s="1"/>
  <c r="N31" i="25" s="1"/>
  <c r="N36" i="25"/>
  <c r="AC16" i="30"/>
  <c r="T21" i="24"/>
  <c r="G36" i="25"/>
  <c r="V28" i="30"/>
  <c r="V58" i="30" s="1"/>
  <c r="V16" i="30"/>
  <c r="AB2" i="30"/>
  <c r="M30" i="25"/>
  <c r="V28" i="33"/>
  <c r="V46" i="34" s="1"/>
  <c r="V16" i="33"/>
  <c r="I30" i="25"/>
  <c r="X2" i="30"/>
  <c r="J36" i="25"/>
  <c r="Y58" i="30"/>
  <c r="J31" i="25" s="1"/>
  <c r="Y28" i="30"/>
  <c r="Y16" i="30"/>
  <c r="P21" i="24"/>
  <c r="Q21" i="24" s="1"/>
  <c r="P27" i="24"/>
  <c r="Q27" i="24" s="1"/>
  <c r="P15" i="24"/>
  <c r="Q15" i="24" s="1"/>
  <c r="Q3" i="24"/>
  <c r="P4" i="24"/>
  <c r="D5" i="24" s="1"/>
  <c r="Y27" i="24"/>
  <c r="X2" i="27" l="1"/>
  <c r="I17" i="25"/>
  <c r="L17" i="25"/>
  <c r="AA2" i="27"/>
  <c r="H17" i="25"/>
  <c r="W2" i="27"/>
  <c r="K17" i="25"/>
  <c r="Z2" i="27"/>
  <c r="Y28" i="27"/>
  <c r="Y58" i="27" s="1"/>
  <c r="J18" i="25" s="1"/>
  <c r="J19" i="25" s="1"/>
  <c r="J56" i="25" s="1"/>
  <c r="Y16" i="27"/>
  <c r="G17" i="25"/>
  <c r="V2" i="27"/>
  <c r="Y58" i="26"/>
  <c r="AC28" i="27"/>
  <c r="AC58" i="27" s="1"/>
  <c r="N18" i="25" s="1"/>
  <c r="N19" i="25" s="1"/>
  <c r="N56" i="25" s="1"/>
  <c r="AC16" i="27"/>
  <c r="AC58" i="26"/>
  <c r="AB2" i="27"/>
  <c r="M17" i="25"/>
  <c r="V47" i="34"/>
  <c r="W46" i="34"/>
  <c r="G31" i="25"/>
  <c r="G38" i="25" s="1"/>
  <c r="L46" i="25"/>
  <c r="L58" i="25" s="1"/>
  <c r="N46" i="25"/>
  <c r="N58" i="25" s="1"/>
  <c r="M46" i="25"/>
  <c r="M58" i="25" s="1"/>
  <c r="H46" i="25"/>
  <c r="H58" i="25" s="1"/>
  <c r="D6" i="24"/>
  <c r="B6" i="24"/>
  <c r="E6" i="24"/>
  <c r="J32" i="25"/>
  <c r="J57" i="25" s="1"/>
  <c r="AB28" i="30"/>
  <c r="AB58" i="30" s="1"/>
  <c r="M31" i="25" s="1"/>
  <c r="M36" i="25"/>
  <c r="AB16" i="30"/>
  <c r="N32" i="25"/>
  <c r="N57" i="25" s="1"/>
  <c r="L3" i="25"/>
  <c r="AA2" i="13"/>
  <c r="W3" i="24"/>
  <c r="L36" i="25"/>
  <c r="AA16" i="30"/>
  <c r="AA28" i="30"/>
  <c r="AA58" i="30" s="1"/>
  <c r="J46" i="25"/>
  <c r="J58" i="25" s="1"/>
  <c r="M3" i="25"/>
  <c r="AB2" i="13"/>
  <c r="K45" i="25"/>
  <c r="AC59" i="33"/>
  <c r="U47" i="28"/>
  <c r="U47" i="31"/>
  <c r="V46" i="31"/>
  <c r="V58" i="33"/>
  <c r="Y21" i="24"/>
  <c r="J3" i="25"/>
  <c r="Y2" i="13"/>
  <c r="U53" i="34"/>
  <c r="U55" i="34"/>
  <c r="F47" i="25" s="1"/>
  <c r="F52" i="25" s="1"/>
  <c r="H3" i="25"/>
  <c r="W2" i="13"/>
  <c r="S3" i="24"/>
  <c r="I3" i="25"/>
  <c r="X2" i="13"/>
  <c r="E19" i="25"/>
  <c r="F24" i="25"/>
  <c r="C72" i="25" s="1"/>
  <c r="E23" i="25"/>
  <c r="E24" i="25"/>
  <c r="E5" i="25"/>
  <c r="E11" i="25"/>
  <c r="F11" i="25"/>
  <c r="B72" i="25" s="1"/>
  <c r="E10" i="25"/>
  <c r="U47" i="15"/>
  <c r="Z27" i="24"/>
  <c r="I36" i="25"/>
  <c r="X16" i="30"/>
  <c r="X58" i="30"/>
  <c r="I31" i="25" s="1"/>
  <c r="X28" i="30"/>
  <c r="U21" i="24"/>
  <c r="Z15" i="24"/>
  <c r="K31" i="25"/>
  <c r="N3" i="25"/>
  <c r="AC2" i="13"/>
  <c r="I46" i="25"/>
  <c r="I58" i="25" s="1"/>
  <c r="C6" i="24"/>
  <c r="H36" i="25"/>
  <c r="W28" i="30"/>
  <c r="W58" i="30" s="1"/>
  <c r="W16" i="30"/>
  <c r="U50" i="34"/>
  <c r="G3" i="25"/>
  <c r="Y58" i="10"/>
  <c r="V2" i="13"/>
  <c r="T49" i="15"/>
  <c r="T51" i="15"/>
  <c r="E7" i="25"/>
  <c r="AC58" i="10"/>
  <c r="Z2" i="13"/>
  <c r="K3" i="25"/>
  <c r="E32" i="25"/>
  <c r="F38" i="25"/>
  <c r="D72" i="25" s="1"/>
  <c r="E37" i="25"/>
  <c r="E38" i="25"/>
  <c r="E21" i="25"/>
  <c r="T49" i="28"/>
  <c r="T51" i="28"/>
  <c r="E34" i="25"/>
  <c r="T49" i="31"/>
  <c r="T51" i="31"/>
  <c r="B68" i="25" l="1"/>
  <c r="B67" i="25"/>
  <c r="E55" i="25"/>
  <c r="B84" i="25"/>
  <c r="B69" i="25"/>
  <c r="E56" i="25"/>
  <c r="C69" i="25"/>
  <c r="C67" i="25"/>
  <c r="E57" i="25"/>
  <c r="D69" i="25"/>
  <c r="Z16" i="27"/>
  <c r="Z28" i="27"/>
  <c r="Z58" i="27" s="1"/>
  <c r="AB28" i="27"/>
  <c r="AB58" i="27" s="1"/>
  <c r="M18" i="25" s="1"/>
  <c r="M19" i="25" s="1"/>
  <c r="M56" i="25" s="1"/>
  <c r="AB16" i="27"/>
  <c r="AA16" i="27"/>
  <c r="AA28" i="27"/>
  <c r="AA58" i="27" s="1"/>
  <c r="L18" i="25" s="1"/>
  <c r="L19" i="25" s="1"/>
  <c r="L56" i="25" s="1"/>
  <c r="X28" i="27"/>
  <c r="X58" i="27" s="1"/>
  <c r="I18" i="25" s="1"/>
  <c r="I19" i="25" s="1"/>
  <c r="I56" i="25" s="1"/>
  <c r="X16" i="27"/>
  <c r="V28" i="27"/>
  <c r="V46" i="28" s="1"/>
  <c r="W46" i="28" s="1"/>
  <c r="V16" i="27"/>
  <c r="W28" i="27"/>
  <c r="W58" i="27"/>
  <c r="H18" i="25" s="1"/>
  <c r="H19" i="25" s="1"/>
  <c r="H56" i="25" s="1"/>
  <c r="W16" i="27"/>
  <c r="M32" i="25"/>
  <c r="M57" i="25" s="1"/>
  <c r="H31" i="25"/>
  <c r="I38" i="25" s="1"/>
  <c r="Y59" i="30"/>
  <c r="L31" i="25"/>
  <c r="AC59" i="30"/>
  <c r="G45" i="25"/>
  <c r="Y59" i="33"/>
  <c r="AB28" i="13"/>
  <c r="AB58" i="13" s="1"/>
  <c r="M4" i="25" s="1"/>
  <c r="M9" i="25"/>
  <c r="AB16" i="13"/>
  <c r="T53" i="28"/>
  <c r="T55" i="28"/>
  <c r="E20" i="25" s="1"/>
  <c r="E25" i="25" s="1"/>
  <c r="T3" i="24"/>
  <c r="Z21" i="24"/>
  <c r="F21" i="25"/>
  <c r="U49" i="28"/>
  <c r="U51" i="28"/>
  <c r="X3" i="24"/>
  <c r="R4" i="24"/>
  <c r="V4" i="24"/>
  <c r="Z4" i="24"/>
  <c r="G32" i="25"/>
  <c r="T50" i="15"/>
  <c r="F10" i="25"/>
  <c r="AC28" i="13"/>
  <c r="AC58" i="13" s="1"/>
  <c r="N4" i="25" s="1"/>
  <c r="N9" i="25"/>
  <c r="AC16" i="13"/>
  <c r="Z14" i="24"/>
  <c r="T55" i="31"/>
  <c r="E33" i="25" s="1"/>
  <c r="E39" i="25" s="1"/>
  <c r="T53" i="31"/>
  <c r="I9" i="25"/>
  <c r="X16" i="13"/>
  <c r="X28" i="13"/>
  <c r="X58" i="13" s="1"/>
  <c r="I4" i="25" s="1"/>
  <c r="T4" i="24"/>
  <c r="X4" i="24"/>
  <c r="T50" i="28"/>
  <c r="F23" i="25"/>
  <c r="I32" i="25"/>
  <c r="I57" i="25" s="1"/>
  <c r="F7" i="25"/>
  <c r="U49" i="15"/>
  <c r="U51" i="15"/>
  <c r="H9" i="25"/>
  <c r="W28" i="13"/>
  <c r="W58" i="13" s="1"/>
  <c r="H4" i="25" s="1"/>
  <c r="W16" i="13"/>
  <c r="V47" i="31"/>
  <c r="W46" i="31"/>
  <c r="AA28" i="13"/>
  <c r="AA58" i="13" s="1"/>
  <c r="L4" i="25" s="1"/>
  <c r="AA16" i="13"/>
  <c r="L9" i="25"/>
  <c r="W4" i="24"/>
  <c r="W2" i="24" s="1"/>
  <c r="Z10" i="15" s="1"/>
  <c r="S4" i="24"/>
  <c r="S2" i="24" s="1"/>
  <c r="V10" i="15" s="1"/>
  <c r="W47" i="34"/>
  <c r="X46" i="34"/>
  <c r="T50" i="31"/>
  <c r="F37" i="25"/>
  <c r="Z16" i="13"/>
  <c r="K9" i="25"/>
  <c r="Z28" i="13"/>
  <c r="Z58" i="13"/>
  <c r="T55" i="15"/>
  <c r="E6" i="25" s="1"/>
  <c r="T53" i="15"/>
  <c r="G9" i="25"/>
  <c r="V28" i="13"/>
  <c r="V46" i="15" s="1"/>
  <c r="V16" i="13"/>
  <c r="V58" i="13"/>
  <c r="K32" i="25"/>
  <c r="Z26" i="24"/>
  <c r="J9" i="25"/>
  <c r="Y28" i="13"/>
  <c r="Y58" i="13" s="1"/>
  <c r="J4" i="25" s="1"/>
  <c r="Y16" i="13"/>
  <c r="F34" i="25"/>
  <c r="U51" i="31"/>
  <c r="U49" i="31"/>
  <c r="K46" i="25"/>
  <c r="Q4" i="24"/>
  <c r="U4" i="24"/>
  <c r="Y4" i="24"/>
  <c r="Y20" i="24" s="1"/>
  <c r="AB10" i="31" s="1"/>
  <c r="G48" i="25"/>
  <c r="V49" i="34"/>
  <c r="V51" i="34"/>
  <c r="E12" i="25" l="1"/>
  <c r="B85" i="25"/>
  <c r="K58" i="25"/>
  <c r="E71" i="25"/>
  <c r="K57" i="25"/>
  <c r="G57" i="25"/>
  <c r="D70" i="25"/>
  <c r="V47" i="28"/>
  <c r="V51" i="28" s="1"/>
  <c r="K18" i="25"/>
  <c r="AC59" i="27"/>
  <c r="V58" i="27"/>
  <c r="L5" i="25"/>
  <c r="L55" i="25" s="1"/>
  <c r="I5" i="25"/>
  <c r="I55" i="25" s="1"/>
  <c r="N5" i="25"/>
  <c r="N55" i="25" s="1"/>
  <c r="M5" i="25"/>
  <c r="M55" i="25" s="1"/>
  <c r="J5" i="25"/>
  <c r="J55" i="25" s="1"/>
  <c r="V55" i="34"/>
  <c r="G47" i="25" s="1"/>
  <c r="G52" i="25" s="1"/>
  <c r="V53" i="34"/>
  <c r="J38" i="25"/>
  <c r="D73" i="25" s="1"/>
  <c r="U50" i="31"/>
  <c r="G4" i="25"/>
  <c r="J11" i="25" s="1"/>
  <c r="B73" i="25" s="1"/>
  <c r="Y59" i="13"/>
  <c r="AC10" i="28"/>
  <c r="AC10" i="34"/>
  <c r="G37" i="25"/>
  <c r="U50" i="28"/>
  <c r="G46" i="25"/>
  <c r="G50" i="25"/>
  <c r="H51" i="25"/>
  <c r="G51" i="25"/>
  <c r="I51" i="25"/>
  <c r="J51" i="25"/>
  <c r="E73" i="25" s="1"/>
  <c r="X47" i="34"/>
  <c r="Y46" i="34"/>
  <c r="X46" i="31"/>
  <c r="W47" i="31"/>
  <c r="U3" i="24"/>
  <c r="U2" i="24" s="1"/>
  <c r="X10" i="15" s="1"/>
  <c r="T2" i="24"/>
  <c r="W10" i="15" s="1"/>
  <c r="V49" i="28"/>
  <c r="H32" i="25"/>
  <c r="H57" i="25" s="1"/>
  <c r="H38" i="25"/>
  <c r="W26" i="24"/>
  <c r="W14" i="24"/>
  <c r="W20" i="24"/>
  <c r="Z10" i="31" s="1"/>
  <c r="W22" i="13"/>
  <c r="W26" i="13" s="1"/>
  <c r="W29" i="13" s="1"/>
  <c r="Q26" i="24"/>
  <c r="Q14" i="24"/>
  <c r="Q20" i="24"/>
  <c r="T10" i="31" s="1"/>
  <c r="Q2" i="24"/>
  <c r="T10" i="15" s="1"/>
  <c r="V47" i="15"/>
  <c r="W46" i="15"/>
  <c r="AC59" i="13"/>
  <c r="K4" i="25"/>
  <c r="H48" i="25"/>
  <c r="W49" i="34"/>
  <c r="W51" i="34"/>
  <c r="G34" i="25"/>
  <c r="V51" i="31"/>
  <c r="V49" i="31"/>
  <c r="H37" i="25" s="1"/>
  <c r="Y3" i="24"/>
  <c r="X2" i="24"/>
  <c r="AA10" i="15" s="1"/>
  <c r="AA22" i="13" s="1"/>
  <c r="AA26" i="13" s="1"/>
  <c r="AA29" i="13" s="1"/>
  <c r="X46" i="28"/>
  <c r="W47" i="28"/>
  <c r="U26" i="24"/>
  <c r="U14" i="24"/>
  <c r="H5" i="25"/>
  <c r="H55" i="25" s="1"/>
  <c r="U50" i="15"/>
  <c r="T26" i="24"/>
  <c r="T14" i="24"/>
  <c r="T20" i="24"/>
  <c r="W10" i="31" s="1"/>
  <c r="R26" i="24"/>
  <c r="R14" i="24"/>
  <c r="R20" i="24"/>
  <c r="U10" i="31" s="1"/>
  <c r="R2" i="24"/>
  <c r="U10" i="15" s="1"/>
  <c r="V22" i="13" s="1"/>
  <c r="V26" i="13" s="1"/>
  <c r="V29" i="13" s="1"/>
  <c r="K51" i="25"/>
  <c r="V50" i="34"/>
  <c r="H50" i="25"/>
  <c r="U55" i="31"/>
  <c r="F33" i="25" s="1"/>
  <c r="F39" i="25" s="1"/>
  <c r="U53" i="31"/>
  <c r="U20" i="24"/>
  <c r="X10" i="31" s="1"/>
  <c r="Y26" i="24"/>
  <c r="Y14" i="24"/>
  <c r="S26" i="24"/>
  <c r="S14" i="24"/>
  <c r="S20" i="24"/>
  <c r="V10" i="31" s="1"/>
  <c r="U55" i="15"/>
  <c r="F6" i="25" s="1"/>
  <c r="F12" i="25" s="1"/>
  <c r="U53" i="15"/>
  <c r="X26" i="24"/>
  <c r="X14" i="24"/>
  <c r="X20" i="24"/>
  <c r="AA10" i="31" s="1"/>
  <c r="AB22" i="30" s="1"/>
  <c r="AB26" i="30" s="1"/>
  <c r="AB29" i="30" s="1"/>
  <c r="V26" i="24"/>
  <c r="V14" i="24"/>
  <c r="V20" i="24"/>
  <c r="Y10" i="31" s="1"/>
  <c r="V2" i="24"/>
  <c r="Y10" i="15" s="1"/>
  <c r="Z22" i="13" s="1"/>
  <c r="Z26" i="13" s="1"/>
  <c r="Z29" i="13" s="1"/>
  <c r="U55" i="28"/>
  <c r="F20" i="25" s="1"/>
  <c r="F25" i="25" s="1"/>
  <c r="U53" i="28"/>
  <c r="Z20" i="24"/>
  <c r="AC10" i="31" s="1"/>
  <c r="AC22" i="30" s="1"/>
  <c r="AC26" i="30" s="1"/>
  <c r="AC29" i="30" s="1"/>
  <c r="L32" i="25"/>
  <c r="L57" i="25" s="1"/>
  <c r="K19" i="25" l="1"/>
  <c r="C68" i="25"/>
  <c r="D71" i="25"/>
  <c r="G58" i="25"/>
  <c r="E70" i="25"/>
  <c r="G21" i="25"/>
  <c r="X22" i="30"/>
  <c r="X26" i="30" s="1"/>
  <c r="X29" i="30" s="1"/>
  <c r="I35" i="25" s="1"/>
  <c r="G18" i="25"/>
  <c r="Y59" i="27"/>
  <c r="Z22" i="30"/>
  <c r="Z26" i="30" s="1"/>
  <c r="Z29" i="30" s="1"/>
  <c r="W22" i="30"/>
  <c r="W26" i="30" s="1"/>
  <c r="W29" i="30" s="1"/>
  <c r="H35" i="25" s="1"/>
  <c r="W50" i="13"/>
  <c r="H8" i="25"/>
  <c r="K8" i="25"/>
  <c r="Z50" i="13"/>
  <c r="G8" i="25"/>
  <c r="V50" i="13"/>
  <c r="L8" i="25"/>
  <c r="AA50" i="13"/>
  <c r="AC50" i="30"/>
  <c r="N35" i="25"/>
  <c r="W50" i="30"/>
  <c r="W10" i="34"/>
  <c r="W10" i="28"/>
  <c r="Y2" i="24"/>
  <c r="AB10" i="15" s="1"/>
  <c r="Z3" i="24"/>
  <c r="Z2" i="24" s="1"/>
  <c r="AC10" i="15" s="1"/>
  <c r="Z50" i="30"/>
  <c r="K35" i="25"/>
  <c r="M35" i="25"/>
  <c r="AB50" i="30"/>
  <c r="V10" i="34"/>
  <c r="W22" i="33" s="1"/>
  <c r="W26" i="33" s="1"/>
  <c r="W29" i="33" s="1"/>
  <c r="V10" i="28"/>
  <c r="W22" i="27" s="1"/>
  <c r="W26" i="27" s="1"/>
  <c r="W29" i="27" s="1"/>
  <c r="Y22" i="30"/>
  <c r="Y26" i="30" s="1"/>
  <c r="Y29" i="30" s="1"/>
  <c r="U10" i="34"/>
  <c r="V22" i="33" s="1"/>
  <c r="V26" i="33" s="1"/>
  <c r="V29" i="33" s="1"/>
  <c r="U10" i="28"/>
  <c r="Y46" i="28"/>
  <c r="X47" i="28"/>
  <c r="W55" i="34"/>
  <c r="H47" i="25" s="1"/>
  <c r="H52" i="25" s="1"/>
  <c r="W53" i="34"/>
  <c r="T22" i="30"/>
  <c r="T26" i="30" s="1"/>
  <c r="T29" i="30" s="1"/>
  <c r="U22" i="30"/>
  <c r="U26" i="30" s="1"/>
  <c r="U29" i="30" s="1"/>
  <c r="V53" i="28"/>
  <c r="V55" i="28"/>
  <c r="G20" i="25" s="1"/>
  <c r="G25" i="25" s="1"/>
  <c r="X22" i="13"/>
  <c r="X26" i="13" s="1"/>
  <c r="X29" i="13" s="1"/>
  <c r="Z46" i="34"/>
  <c r="Y47" i="34"/>
  <c r="H21" i="25"/>
  <c r="W51" i="28"/>
  <c r="W49" i="28"/>
  <c r="K5" i="25"/>
  <c r="X47" i="31"/>
  <c r="Y46" i="31"/>
  <c r="Y10" i="28"/>
  <c r="Y10" i="34"/>
  <c r="AA10" i="34"/>
  <c r="AA10" i="28"/>
  <c r="X10" i="34"/>
  <c r="X10" i="28"/>
  <c r="Y22" i="27" s="1"/>
  <c r="Y26" i="27" s="1"/>
  <c r="Y29" i="27" s="1"/>
  <c r="V50" i="31"/>
  <c r="K38" i="25"/>
  <c r="L51" i="25"/>
  <c r="W50" i="34"/>
  <c r="I50" i="25"/>
  <c r="W47" i="15"/>
  <c r="X46" i="15"/>
  <c r="T10" i="28"/>
  <c r="T10" i="34"/>
  <c r="AA22" i="30"/>
  <c r="AA26" i="30" s="1"/>
  <c r="AA29" i="30" s="1"/>
  <c r="K24" i="25"/>
  <c r="V50" i="28"/>
  <c r="H23" i="25"/>
  <c r="Y22" i="13"/>
  <c r="Y26" i="13" s="1"/>
  <c r="Y29" i="13" s="1"/>
  <c r="I48" i="25"/>
  <c r="X51" i="34"/>
  <c r="X49" i="34"/>
  <c r="V22" i="30"/>
  <c r="V26" i="30" s="1"/>
  <c r="V29" i="30" s="1"/>
  <c r="T22" i="13"/>
  <c r="T26" i="13" s="1"/>
  <c r="T29" i="13" s="1"/>
  <c r="U22" i="13"/>
  <c r="U26" i="13" s="1"/>
  <c r="U29" i="13" s="1"/>
  <c r="AB10" i="28"/>
  <c r="AC22" i="27" s="1"/>
  <c r="AC26" i="27" s="1"/>
  <c r="AC29" i="27" s="1"/>
  <c r="AB10" i="34"/>
  <c r="AC22" i="33" s="1"/>
  <c r="AC26" i="33" s="1"/>
  <c r="AC29" i="33" s="1"/>
  <c r="X50" i="30"/>
  <c r="V55" i="31"/>
  <c r="G33" i="25" s="1"/>
  <c r="G39" i="25" s="1"/>
  <c r="V53" i="31"/>
  <c r="V49" i="15"/>
  <c r="G7" i="25"/>
  <c r="V51" i="15"/>
  <c r="Z10" i="34"/>
  <c r="Z10" i="28"/>
  <c r="H34" i="25"/>
  <c r="W49" i="31"/>
  <c r="W51" i="31"/>
  <c r="G10" i="25"/>
  <c r="G5" i="25"/>
  <c r="H11" i="25"/>
  <c r="G11" i="25"/>
  <c r="I11" i="25"/>
  <c r="K55" i="25" l="1"/>
  <c r="B71" i="25"/>
  <c r="G55" i="25"/>
  <c r="B70" i="25"/>
  <c r="K56" i="25"/>
  <c r="C71" i="25"/>
  <c r="V22" i="27"/>
  <c r="V26" i="27" s="1"/>
  <c r="V29" i="27" s="1"/>
  <c r="G19" i="25"/>
  <c r="G24" i="25"/>
  <c r="H24" i="25"/>
  <c r="I24" i="25"/>
  <c r="J24" i="25"/>
  <c r="C73" i="25" s="1"/>
  <c r="G23" i="25"/>
  <c r="AC22" i="13"/>
  <c r="AC26" i="13" s="1"/>
  <c r="AC29" i="13" s="1"/>
  <c r="AA22" i="33"/>
  <c r="AA26" i="33" s="1"/>
  <c r="AA29" i="33" s="1"/>
  <c r="AB22" i="27"/>
  <c r="AB26" i="27" s="1"/>
  <c r="AB29" i="27" s="1"/>
  <c r="M22" i="25" s="1"/>
  <c r="W50" i="31"/>
  <c r="L38" i="25"/>
  <c r="I37" i="25"/>
  <c r="V55" i="15"/>
  <c r="G6" i="25" s="1"/>
  <c r="G12" i="25" s="1"/>
  <c r="V53" i="15"/>
  <c r="G35" i="25"/>
  <c r="V50" i="30"/>
  <c r="AB50" i="27"/>
  <c r="F35" i="25"/>
  <c r="U50" i="30"/>
  <c r="X51" i="28"/>
  <c r="X49" i="28"/>
  <c r="I21" i="25"/>
  <c r="AB22" i="13"/>
  <c r="AB26" i="13" s="1"/>
  <c r="AB29" i="13" s="1"/>
  <c r="AC50" i="27"/>
  <c r="N22" i="25"/>
  <c r="M51" i="25"/>
  <c r="X50" i="34"/>
  <c r="J50" i="25"/>
  <c r="U22" i="33"/>
  <c r="U26" i="33" s="1"/>
  <c r="U29" i="33" s="1"/>
  <c r="T22" i="33"/>
  <c r="T26" i="33" s="1"/>
  <c r="T29" i="33" s="1"/>
  <c r="AB22" i="33"/>
  <c r="AB26" i="33" s="1"/>
  <c r="AB29" i="33" s="1"/>
  <c r="I34" i="25"/>
  <c r="X51" i="31"/>
  <c r="X49" i="31"/>
  <c r="W53" i="28"/>
  <c r="W55" i="28"/>
  <c r="H20" i="25" s="1"/>
  <c r="H25" i="25" s="1"/>
  <c r="I8" i="25"/>
  <c r="X50" i="13"/>
  <c r="E35" i="25"/>
  <c r="T50" i="30"/>
  <c r="T52" i="30" s="1"/>
  <c r="Z46" i="28"/>
  <c r="Y47" i="28"/>
  <c r="W50" i="27"/>
  <c r="H22" i="25"/>
  <c r="X22" i="27"/>
  <c r="X26" i="27" s="1"/>
  <c r="X29" i="27" s="1"/>
  <c r="J8" i="25"/>
  <c r="Y50" i="13"/>
  <c r="AA46" i="34"/>
  <c r="Z47" i="34"/>
  <c r="AC50" i="13"/>
  <c r="N8" i="25"/>
  <c r="AA22" i="27"/>
  <c r="AA26" i="27" s="1"/>
  <c r="AA29" i="27" s="1"/>
  <c r="V50" i="15"/>
  <c r="K11" i="25"/>
  <c r="H10" i="25"/>
  <c r="F8" i="25"/>
  <c r="U50" i="13"/>
  <c r="X55" i="34"/>
  <c r="I47" i="25" s="1"/>
  <c r="I52" i="25" s="1"/>
  <c r="X53" i="34"/>
  <c r="T22" i="27"/>
  <c r="T26" i="27" s="1"/>
  <c r="T29" i="27" s="1"/>
  <c r="U22" i="27"/>
  <c r="U26" i="27" s="1"/>
  <c r="U29" i="27" s="1"/>
  <c r="J22" i="25"/>
  <c r="Y50" i="27"/>
  <c r="Z22" i="33"/>
  <c r="Z26" i="33" s="1"/>
  <c r="Z29" i="33" s="1"/>
  <c r="V50" i="27"/>
  <c r="G22" i="25"/>
  <c r="H49" i="25"/>
  <c r="W50" i="33"/>
  <c r="X22" i="33"/>
  <c r="X26" i="33" s="1"/>
  <c r="X29" i="33" s="1"/>
  <c r="N49" i="25"/>
  <c r="AC50" i="33"/>
  <c r="AA50" i="30"/>
  <c r="L35" i="25"/>
  <c r="W49" i="15"/>
  <c r="H7" i="25"/>
  <c r="W51" i="15"/>
  <c r="Y47" i="31"/>
  <c r="Z46" i="31"/>
  <c r="L24" i="25"/>
  <c r="W50" i="28"/>
  <c r="I23" i="25"/>
  <c r="J35" i="25"/>
  <c r="Y50" i="30"/>
  <c r="W53" i="31"/>
  <c r="W55" i="31"/>
  <c r="H33" i="25" s="1"/>
  <c r="H39" i="25" s="1"/>
  <c r="AA50" i="33"/>
  <c r="L49" i="25"/>
  <c r="E8" i="25"/>
  <c r="T50" i="13"/>
  <c r="T52" i="13" s="1"/>
  <c r="Y46" i="15"/>
  <c r="X47" i="15"/>
  <c r="Y22" i="33"/>
  <c r="Y26" i="33" s="1"/>
  <c r="Y29" i="33" s="1"/>
  <c r="Z22" i="27"/>
  <c r="Z26" i="27" s="1"/>
  <c r="Z29" i="27" s="1"/>
  <c r="J48" i="25"/>
  <c r="Y51" i="34"/>
  <c r="Y49" i="34"/>
  <c r="G49" i="25"/>
  <c r="V50" i="33"/>
  <c r="G56" i="25" l="1"/>
  <c r="C70" i="25"/>
  <c r="C77" i="25"/>
  <c r="L11" i="25"/>
  <c r="W50" i="15"/>
  <c r="I10" i="25"/>
  <c r="I49" i="25"/>
  <c r="X50" i="33"/>
  <c r="U50" i="27"/>
  <c r="F22" i="25"/>
  <c r="Z51" i="34"/>
  <c r="K48" i="25"/>
  <c r="Z49" i="34"/>
  <c r="J21" i="25"/>
  <c r="Y49" i="28"/>
  <c r="Y51" i="28"/>
  <c r="X50" i="31"/>
  <c r="M38" i="25"/>
  <c r="J37" i="25"/>
  <c r="E49" i="25"/>
  <c r="T50" i="33"/>
  <c r="T52" i="33" s="1"/>
  <c r="Y47" i="15"/>
  <c r="Z46" i="15"/>
  <c r="AA46" i="31"/>
  <c r="Z47" i="31"/>
  <c r="AB50" i="33"/>
  <c r="M49" i="25"/>
  <c r="M8" i="25"/>
  <c r="AB50" i="13"/>
  <c r="K22" i="25"/>
  <c r="Z50" i="27"/>
  <c r="U51" i="13"/>
  <c r="U52" i="13" s="1"/>
  <c r="T4" i="15"/>
  <c r="T13" i="15" s="1"/>
  <c r="T24" i="15" s="1"/>
  <c r="T57" i="15" s="1"/>
  <c r="J34" i="25"/>
  <c r="Y51" i="31"/>
  <c r="Y49" i="31"/>
  <c r="Y50" i="34"/>
  <c r="N51" i="25"/>
  <c r="E74" i="25" s="1"/>
  <c r="K50" i="25"/>
  <c r="J49" i="25"/>
  <c r="Y50" i="33"/>
  <c r="W53" i="15"/>
  <c r="W55" i="15"/>
  <c r="H6" i="25" s="1"/>
  <c r="H12" i="25" s="1"/>
  <c r="K49" i="25"/>
  <c r="Z50" i="33"/>
  <c r="T50" i="27"/>
  <c r="T52" i="27" s="1"/>
  <c r="E22" i="25"/>
  <c r="L22" i="25"/>
  <c r="AA50" i="27"/>
  <c r="AB46" i="34"/>
  <c r="AA47" i="34"/>
  <c r="I22" i="25"/>
  <c r="X50" i="27"/>
  <c r="AA46" i="28"/>
  <c r="Z47" i="28"/>
  <c r="X55" i="31"/>
  <c r="I33" i="25" s="1"/>
  <c r="I39" i="25" s="1"/>
  <c r="X53" i="31"/>
  <c r="F49" i="25"/>
  <c r="U50" i="33"/>
  <c r="X50" i="28"/>
  <c r="M24" i="25"/>
  <c r="J23" i="25"/>
  <c r="Y55" i="34"/>
  <c r="J47" i="25" s="1"/>
  <c r="J52" i="25" s="1"/>
  <c r="Y53" i="34"/>
  <c r="X49" i="15"/>
  <c r="I7" i="25"/>
  <c r="X51" i="15"/>
  <c r="T4" i="31"/>
  <c r="T13" i="31" s="1"/>
  <c r="T24" i="31" s="1"/>
  <c r="T57" i="31" s="1"/>
  <c r="U51" i="30"/>
  <c r="U52" i="30" s="1"/>
  <c r="X55" i="28"/>
  <c r="I20" i="25" s="1"/>
  <c r="I25" i="25" s="1"/>
  <c r="X53" i="28"/>
  <c r="U51" i="33" l="1"/>
  <c r="U52" i="33" s="1"/>
  <c r="T4" i="34"/>
  <c r="T13" i="34" s="1"/>
  <c r="T24" i="34" s="1"/>
  <c r="T57" i="34" s="1"/>
  <c r="Z50" i="34"/>
  <c r="L50" i="25"/>
  <c r="V51" i="13"/>
  <c r="V52" i="13" s="1"/>
  <c r="U4" i="15"/>
  <c r="U13" i="15" s="1"/>
  <c r="U24" i="15" s="1"/>
  <c r="U57" i="15" s="1"/>
  <c r="Y53" i="28"/>
  <c r="Y55" i="28"/>
  <c r="J20" i="25" s="1"/>
  <c r="J25" i="25" s="1"/>
  <c r="U4" i="31"/>
  <c r="U13" i="31" s="1"/>
  <c r="U24" i="31" s="1"/>
  <c r="U57" i="31" s="1"/>
  <c r="V51" i="30"/>
  <c r="V52" i="30" s="1"/>
  <c r="M11" i="25"/>
  <c r="X50" i="15"/>
  <c r="J10" i="25"/>
  <c r="AA47" i="28"/>
  <c r="AB46" i="28"/>
  <c r="AC46" i="34"/>
  <c r="AC47" i="34" s="1"/>
  <c r="AB47" i="34"/>
  <c r="T4" i="28"/>
  <c r="T13" i="28" s="1"/>
  <c r="T24" i="28" s="1"/>
  <c r="T57" i="28" s="1"/>
  <c r="U51" i="27"/>
  <c r="U52" i="27" s="1"/>
  <c r="Y49" i="15"/>
  <c r="Y51" i="15"/>
  <c r="J7" i="25"/>
  <c r="Z49" i="31"/>
  <c r="K34" i="25"/>
  <c r="Z51" i="31"/>
  <c r="X53" i="15"/>
  <c r="X55" i="15"/>
  <c r="I6" i="25" s="1"/>
  <c r="I12" i="25" s="1"/>
  <c r="N38" i="25"/>
  <c r="D74" i="25" s="1"/>
  <c r="Y50" i="31"/>
  <c r="K37" i="25"/>
  <c r="AB46" i="31"/>
  <c r="AA47" i="31"/>
  <c r="Z51" i="28"/>
  <c r="K21" i="25"/>
  <c r="Z49" i="28"/>
  <c r="L48" i="25"/>
  <c r="AA51" i="34"/>
  <c r="AA49" i="34"/>
  <c r="Y53" i="31"/>
  <c r="Y55" i="31"/>
  <c r="J33" i="25" s="1"/>
  <c r="J39" i="25" s="1"/>
  <c r="Z47" i="15"/>
  <c r="AA46" i="15"/>
  <c r="N24" i="25"/>
  <c r="C74" i="25" s="1"/>
  <c r="Y50" i="28"/>
  <c r="K23" i="25"/>
  <c r="Z53" i="34"/>
  <c r="Z55" i="34"/>
  <c r="K47" i="25" s="1"/>
  <c r="K52" i="25" s="1"/>
  <c r="L34" i="25" l="1"/>
  <c r="AA51" i="31"/>
  <c r="AA49" i="31"/>
  <c r="AC51" i="34"/>
  <c r="AC49" i="34"/>
  <c r="AC50" i="34" s="1"/>
  <c r="N48" i="25"/>
  <c r="Z50" i="28"/>
  <c r="L23" i="25"/>
  <c r="AC46" i="31"/>
  <c r="AC47" i="31" s="1"/>
  <c r="AB47" i="31"/>
  <c r="Z50" i="31"/>
  <c r="L37" i="25"/>
  <c r="V51" i="27"/>
  <c r="V52" i="27" s="1"/>
  <c r="U4" i="28"/>
  <c r="U13" i="28" s="1"/>
  <c r="U24" i="28" s="1"/>
  <c r="U57" i="28" s="1"/>
  <c r="AC46" i="28"/>
  <c r="AC47" i="28" s="1"/>
  <c r="AB47" i="28"/>
  <c r="AB46" i="15"/>
  <c r="AA47" i="15"/>
  <c r="AA50" i="34"/>
  <c r="M50" i="25"/>
  <c r="L21" i="25"/>
  <c r="AA51" i="28"/>
  <c r="AA49" i="28"/>
  <c r="V4" i="31"/>
  <c r="V13" i="31" s="1"/>
  <c r="V24" i="31" s="1"/>
  <c r="V57" i="31" s="1"/>
  <c r="W51" i="30"/>
  <c r="W52" i="30" s="1"/>
  <c r="Y50" i="15"/>
  <c r="N11" i="25"/>
  <c r="B74" i="25" s="1"/>
  <c r="K10" i="25"/>
  <c r="Z49" i="15"/>
  <c r="Z51" i="15"/>
  <c r="K7" i="25"/>
  <c r="AA55" i="34"/>
  <c r="L47" i="25" s="1"/>
  <c r="L52" i="25" s="1"/>
  <c r="AA53" i="34"/>
  <c r="Z53" i="28"/>
  <c r="Z55" i="28"/>
  <c r="K20" i="25" s="1"/>
  <c r="K25" i="25" s="1"/>
  <c r="Z53" i="31"/>
  <c r="Z55" i="31"/>
  <c r="K33" i="25" s="1"/>
  <c r="K39" i="25" s="1"/>
  <c r="Y55" i="15"/>
  <c r="J6" i="25" s="1"/>
  <c r="J12" i="25" s="1"/>
  <c r="Y53" i="15"/>
  <c r="M48" i="25"/>
  <c r="AB51" i="34"/>
  <c r="AB49" i="34"/>
  <c r="V4" i="15"/>
  <c r="V13" i="15" s="1"/>
  <c r="V24" i="15" s="1"/>
  <c r="V57" i="15" s="1"/>
  <c r="W51" i="13"/>
  <c r="W52" i="13" s="1"/>
  <c r="V51" i="33"/>
  <c r="V52" i="33" s="1"/>
  <c r="U4" i="34"/>
  <c r="U13" i="34" s="1"/>
  <c r="U24" i="34" s="1"/>
  <c r="U57" i="34" s="1"/>
  <c r="E77" i="25" l="1"/>
  <c r="AA50" i="31"/>
  <c r="M37" i="25"/>
  <c r="AA50" i="28"/>
  <c r="M23" i="25"/>
  <c r="AA55" i="28"/>
  <c r="L20" i="25" s="1"/>
  <c r="L25" i="25" s="1"/>
  <c r="AA53" i="28"/>
  <c r="AA49" i="15"/>
  <c r="AA51" i="15"/>
  <c r="L7" i="25"/>
  <c r="W51" i="33"/>
  <c r="W52" i="33" s="1"/>
  <c r="V4" i="34"/>
  <c r="V13" i="34" s="1"/>
  <c r="V24" i="34" s="1"/>
  <c r="V57" i="34" s="1"/>
  <c r="AB55" i="34"/>
  <c r="M47" i="25" s="1"/>
  <c r="M52" i="25" s="1"/>
  <c r="AB53" i="34"/>
  <c r="Z50" i="15"/>
  <c r="L10" i="25"/>
  <c r="X51" i="30"/>
  <c r="X52" i="30" s="1"/>
  <c r="W4" i="31"/>
  <c r="W13" i="31" s="1"/>
  <c r="W24" i="31" s="1"/>
  <c r="W57" i="31" s="1"/>
  <c r="AC46" i="15"/>
  <c r="AC47" i="15" s="1"/>
  <c r="AB47" i="15"/>
  <c r="W51" i="27"/>
  <c r="W52" i="27" s="1"/>
  <c r="V4" i="28"/>
  <c r="V13" i="28" s="1"/>
  <c r="V24" i="28" s="1"/>
  <c r="V57" i="28" s="1"/>
  <c r="M34" i="25"/>
  <c r="AB51" i="31"/>
  <c r="AB49" i="31"/>
  <c r="AA53" i="31"/>
  <c r="AA55" i="31"/>
  <c r="L33" i="25" s="1"/>
  <c r="L39" i="25" s="1"/>
  <c r="AC51" i="28"/>
  <c r="N21" i="25"/>
  <c r="AC49" i="28"/>
  <c r="AC50" i="28" s="1"/>
  <c r="AC53" i="34"/>
  <c r="AC55" i="34"/>
  <c r="N47" i="25" s="1"/>
  <c r="AB50" i="34"/>
  <c r="N50" i="25"/>
  <c r="Z55" i="15"/>
  <c r="K6" i="25" s="1"/>
  <c r="K12" i="25" s="1"/>
  <c r="Z53" i="15"/>
  <c r="X51" i="13"/>
  <c r="X52" i="13" s="1"/>
  <c r="W4" i="15"/>
  <c r="W13" i="15" s="1"/>
  <c r="W24" i="15" s="1"/>
  <c r="W57" i="15" s="1"/>
  <c r="M21" i="25"/>
  <c r="AB51" i="28"/>
  <c r="AB49" i="28"/>
  <c r="AC49" i="31"/>
  <c r="AC50" i="31" s="1"/>
  <c r="N34" i="25"/>
  <c r="D77" i="25" s="1"/>
  <c r="AC51" i="31"/>
  <c r="N52" i="25" l="1"/>
  <c r="N53" i="25" s="1"/>
  <c r="E76" i="25" s="1"/>
  <c r="E75" i="25"/>
  <c r="AC53" i="28"/>
  <c r="AC55" i="28"/>
  <c r="N20" i="25" s="1"/>
  <c r="C75" i="25" s="1"/>
  <c r="AB53" i="31"/>
  <c r="AB55" i="31"/>
  <c r="M33" i="25" s="1"/>
  <c r="M39" i="25" s="1"/>
  <c r="AB49" i="15"/>
  <c r="M7" i="25"/>
  <c r="AB51" i="15"/>
  <c r="AC49" i="15"/>
  <c r="AC50" i="15" s="1"/>
  <c r="AC51" i="15"/>
  <c r="N7" i="25"/>
  <c r="B77" i="25" s="1"/>
  <c r="X51" i="33"/>
  <c r="X52" i="33" s="1"/>
  <c r="W4" i="34"/>
  <c r="W13" i="34" s="1"/>
  <c r="W24" i="34" s="1"/>
  <c r="W57" i="34" s="1"/>
  <c r="AB50" i="28"/>
  <c r="N23" i="25"/>
  <c r="X4" i="15"/>
  <c r="X13" i="15" s="1"/>
  <c r="X24" i="15" s="1"/>
  <c r="X57" i="15" s="1"/>
  <c r="Y51" i="13"/>
  <c r="Y52" i="13" s="1"/>
  <c r="AB50" i="31"/>
  <c r="N37" i="25"/>
  <c r="W4" i="28"/>
  <c r="W13" i="28" s="1"/>
  <c r="W24" i="28" s="1"/>
  <c r="W57" i="28" s="1"/>
  <c r="X51" i="27"/>
  <c r="X52" i="27" s="1"/>
  <c r="Y51" i="30"/>
  <c r="Y52" i="30" s="1"/>
  <c r="X4" i="31"/>
  <c r="X13" i="31" s="1"/>
  <c r="X24" i="31" s="1"/>
  <c r="X57" i="31" s="1"/>
  <c r="AA53" i="15"/>
  <c r="AA55" i="15"/>
  <c r="L6" i="25" s="1"/>
  <c r="L12" i="25" s="1"/>
  <c r="AC55" i="31"/>
  <c r="N33" i="25" s="1"/>
  <c r="D75" i="25" s="1"/>
  <c r="AC53" i="31"/>
  <c r="AB53" i="28"/>
  <c r="AB55" i="28"/>
  <c r="M20" i="25" s="1"/>
  <c r="M25" i="25" s="1"/>
  <c r="AA50" i="15"/>
  <c r="M10" i="25"/>
  <c r="X4" i="28" l="1"/>
  <c r="X13" i="28" s="1"/>
  <c r="X24" i="28" s="1"/>
  <c r="X57" i="28" s="1"/>
  <c r="Y51" i="27"/>
  <c r="Y52" i="27" s="1"/>
  <c r="X4" i="34"/>
  <c r="X13" i="34" s="1"/>
  <c r="X24" i="34" s="1"/>
  <c r="X57" i="34" s="1"/>
  <c r="Y51" i="33"/>
  <c r="Y52" i="33" s="1"/>
  <c r="AB53" i="15"/>
  <c r="AB55" i="15"/>
  <c r="M6" i="25" s="1"/>
  <c r="M12" i="25" s="1"/>
  <c r="Z51" i="13"/>
  <c r="Z52" i="13" s="1"/>
  <c r="Y4" i="15"/>
  <c r="Y13" i="15" s="1"/>
  <c r="Y24" i="15" s="1"/>
  <c r="Y57" i="15" s="1"/>
  <c r="N25" i="25"/>
  <c r="N26" i="25" s="1"/>
  <c r="C76" i="25" s="1"/>
  <c r="N39" i="25"/>
  <c r="N40" i="25" s="1"/>
  <c r="D76" i="25" s="1"/>
  <c r="Z51" i="30"/>
  <c r="Z52" i="30" s="1"/>
  <c r="Y4" i="31"/>
  <c r="Y13" i="31" s="1"/>
  <c r="Y24" i="31" s="1"/>
  <c r="Y57" i="31" s="1"/>
  <c r="AC55" i="15"/>
  <c r="N6" i="25" s="1"/>
  <c r="B75" i="25" s="1"/>
  <c r="AC53" i="15"/>
  <c r="AB50" i="15"/>
  <c r="N10" i="25"/>
  <c r="N12" i="25" l="1"/>
  <c r="N13" i="25" s="1"/>
  <c r="B76" i="25" s="1"/>
  <c r="Z51" i="33"/>
  <c r="Z52" i="33" s="1"/>
  <c r="Y4" i="34"/>
  <c r="Y13" i="34" s="1"/>
  <c r="Y24" i="34" s="1"/>
  <c r="Y57" i="34" s="1"/>
  <c r="Z4" i="31"/>
  <c r="Z13" i="31" s="1"/>
  <c r="Z24" i="31" s="1"/>
  <c r="Z57" i="31" s="1"/>
  <c r="AA51" i="30"/>
  <c r="AA52" i="30" s="1"/>
  <c r="Y4" i="28"/>
  <c r="Y13" i="28" s="1"/>
  <c r="Y24" i="28" s="1"/>
  <c r="Y57" i="28" s="1"/>
  <c r="Z51" i="27"/>
  <c r="Z52" i="27" s="1"/>
  <c r="Z4" i="15"/>
  <c r="Z13" i="15" s="1"/>
  <c r="Z24" i="15" s="1"/>
  <c r="Z57" i="15" s="1"/>
  <c r="AA51" i="13"/>
  <c r="AA52" i="13" s="1"/>
  <c r="AB51" i="13" l="1"/>
  <c r="AB52" i="13" s="1"/>
  <c r="AA4" i="15"/>
  <c r="AA13" i="15" s="1"/>
  <c r="AA24" i="15" s="1"/>
  <c r="AA57" i="15" s="1"/>
  <c r="AB51" i="30"/>
  <c r="AB52" i="30" s="1"/>
  <c r="AA4" i="31"/>
  <c r="AA13" i="31" s="1"/>
  <c r="AA24" i="31" s="1"/>
  <c r="AA57" i="31" s="1"/>
  <c r="Z4" i="28"/>
  <c r="Z13" i="28" s="1"/>
  <c r="Z24" i="28" s="1"/>
  <c r="Z57" i="28" s="1"/>
  <c r="AA51" i="27"/>
  <c r="AA52" i="27" s="1"/>
  <c r="Z4" i="34"/>
  <c r="Z13" i="34" s="1"/>
  <c r="Z24" i="34" s="1"/>
  <c r="Z57" i="34" s="1"/>
  <c r="AA51" i="33"/>
  <c r="AA52" i="33" s="1"/>
  <c r="AB51" i="33" l="1"/>
  <c r="AB52" i="33" s="1"/>
  <c r="AA4" i="34"/>
  <c r="AA13" i="34" s="1"/>
  <c r="AA24" i="34" s="1"/>
  <c r="AA57" i="34" s="1"/>
  <c r="AC51" i="30"/>
  <c r="AC52" i="30" s="1"/>
  <c r="AC4" i="31" s="1"/>
  <c r="AC13" i="31" s="1"/>
  <c r="AC24" i="31" s="1"/>
  <c r="AC57" i="31" s="1"/>
  <c r="AB4" i="31"/>
  <c r="AB13" i="31" s="1"/>
  <c r="AB24" i="31" s="1"/>
  <c r="AB57" i="31" s="1"/>
  <c r="AB51" i="27"/>
  <c r="AB52" i="27" s="1"/>
  <c r="AA4" i="28"/>
  <c r="AA13" i="28" s="1"/>
  <c r="AA24" i="28" s="1"/>
  <c r="AA57" i="28" s="1"/>
  <c r="AC51" i="13"/>
  <c r="AC52" i="13" s="1"/>
  <c r="AC4" i="15" s="1"/>
  <c r="AC13" i="15" s="1"/>
  <c r="AC24" i="15" s="1"/>
  <c r="AC57" i="15" s="1"/>
  <c r="AB4" i="15"/>
  <c r="AB13" i="15" s="1"/>
  <c r="AB24" i="15" s="1"/>
  <c r="AB57" i="15" s="1"/>
  <c r="AC51" i="27" l="1"/>
  <c r="AC52" i="27" s="1"/>
  <c r="AC4" i="28" s="1"/>
  <c r="AC13" i="28" s="1"/>
  <c r="AC24" i="28" s="1"/>
  <c r="AC57" i="28" s="1"/>
  <c r="AB4" i="28"/>
  <c r="AB13" i="28" s="1"/>
  <c r="AB24" i="28" s="1"/>
  <c r="AB57" i="28" s="1"/>
  <c r="AC51" i="33"/>
  <c r="AC52" i="33" s="1"/>
  <c r="AC4" i="34" s="1"/>
  <c r="AC13" i="34" s="1"/>
  <c r="AC24" i="34" s="1"/>
  <c r="AC57" i="34" s="1"/>
  <c r="AB4" i="34"/>
  <c r="AB13" i="34" s="1"/>
  <c r="AB24" i="34" s="1"/>
  <c r="AB57" i="34" s="1"/>
</calcChain>
</file>

<file path=xl/comments1.xml><?xml version="1.0" encoding="utf-8"?>
<comments xmlns="http://schemas.openxmlformats.org/spreadsheetml/2006/main">
  <authors>
    <author>Kuzya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</commentList>
</comments>
</file>

<file path=xl/comments2.xml><?xml version="1.0" encoding="utf-8"?>
<comments xmlns="http://schemas.openxmlformats.org/spreadsheetml/2006/main">
  <authors>
    <author>Kuzya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3.xml><?xml version="1.0" encoding="utf-8"?>
<comments xmlns="http://schemas.openxmlformats.org/spreadsheetml/2006/main">
  <authors>
    <author>Kuzya</author>
  </authors>
  <commentList>
    <comment ref="T31" authorId="0" shape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4.xml><?xml version="1.0" encoding="utf-8"?>
<comments xmlns="http://schemas.openxmlformats.org/spreadsheetml/2006/main">
  <authors>
    <author>Kuzya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5.xml><?xml version="1.0" encoding="utf-8"?>
<comments xmlns="http://schemas.openxmlformats.org/spreadsheetml/2006/main">
  <authors>
    <author>Kuzya</author>
  </authors>
  <commentList>
    <comment ref="T31" authorId="0" shape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W35" authorId="0" shapeId="0">
      <text>
        <r>
          <rPr>
            <b/>
            <sz val="9"/>
            <color indexed="81"/>
            <rFont val="Tahoma"/>
            <family val="2"/>
            <charset val="204"/>
          </rPr>
          <t>additional 200 kha land bank purchase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6.xml><?xml version="1.0" encoding="utf-8"?>
<comments xmlns="http://schemas.openxmlformats.org/spreadsheetml/2006/main">
  <authors>
    <author>Kuzya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7.xml><?xml version="1.0" encoding="utf-8"?>
<comments xmlns="http://schemas.openxmlformats.org/spreadsheetml/2006/main">
  <authors>
    <author>Kuzya</author>
  </authors>
  <commentList>
    <comment ref="T31" authorId="0" shape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8.xml><?xml version="1.0" encoding="utf-8"?>
<comments xmlns="http://schemas.openxmlformats.org/spreadsheetml/2006/main">
  <authors>
    <author>Kuzya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 shape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9.xml><?xml version="1.0" encoding="utf-8"?>
<comments xmlns="http://schemas.openxmlformats.org/spreadsheetml/2006/main">
  <authors>
    <author>Kuzya</author>
  </authors>
  <commentList>
    <comment ref="T31" authorId="0" shape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W35" authorId="0" shapeId="0">
      <text>
        <r>
          <rPr>
            <b/>
            <sz val="9"/>
            <color indexed="81"/>
            <rFont val="Tahoma"/>
            <family val="2"/>
            <charset val="204"/>
          </rPr>
          <t>additional 200 kha land bank purchase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sharedStrings.xml><?xml version="1.0" encoding="utf-8"?>
<sst xmlns="http://schemas.openxmlformats.org/spreadsheetml/2006/main" count="1688" uniqueCount="426">
  <si>
    <t>Income statement highlights</t>
  </si>
  <si>
    <t>Cash flow highlights</t>
  </si>
  <si>
    <t>Liquidity position and credit metrics</t>
  </si>
  <si>
    <t>FY2006</t>
  </si>
  <si>
    <t>FY2007</t>
  </si>
  <si>
    <t>FY2008</t>
  </si>
  <si>
    <t>FY2009</t>
  </si>
  <si>
    <t>FY2010</t>
  </si>
  <si>
    <t>FY2011</t>
  </si>
  <si>
    <t>FY2012</t>
  </si>
  <si>
    <t>FY2013</t>
  </si>
  <si>
    <t>FY2014</t>
  </si>
  <si>
    <t>FY2015</t>
  </si>
  <si>
    <t>FY2016</t>
  </si>
  <si>
    <t>Revenue</t>
  </si>
  <si>
    <t>-</t>
  </si>
  <si>
    <t>Farming</t>
  </si>
  <si>
    <t>EBITDA</t>
  </si>
  <si>
    <t>Cash</t>
  </si>
  <si>
    <t>EBITDA/Interest</t>
  </si>
  <si>
    <t>USD million, except multiples</t>
  </si>
  <si>
    <t>EBITDA, incl,</t>
  </si>
  <si>
    <t>Sunflower oil</t>
  </si>
  <si>
    <t>Grain and infrastructure</t>
  </si>
  <si>
    <t>Unallocated corporate expenses</t>
  </si>
  <si>
    <t>Net profit</t>
  </si>
  <si>
    <t>EBITDA margin</t>
  </si>
  <si>
    <t>Net margin</t>
  </si>
  <si>
    <t>Maintenance CAPEX(1)</t>
  </si>
  <si>
    <t>Finance cost paid</t>
  </si>
  <si>
    <t>Income tax paid</t>
  </si>
  <si>
    <t>Other non-cash items(2)</t>
  </si>
  <si>
    <t>Funds from Operations</t>
  </si>
  <si>
    <t>Dividends paid</t>
  </si>
  <si>
    <t>Change in working capital</t>
  </si>
  <si>
    <t>Expansion CAPEX(3)</t>
  </si>
  <si>
    <t>Free cash flow</t>
  </si>
  <si>
    <t>Gross interest-bearing debt</t>
  </si>
  <si>
    <t>Net interest-bearing debt</t>
  </si>
  <si>
    <t>Readily marketable inventories(4)</t>
  </si>
  <si>
    <t>Adjusted net financial debt</t>
  </si>
  <si>
    <t>Net debt/EBITDA</t>
  </si>
  <si>
    <t>Adjusted net debt/EBITDA</t>
  </si>
  <si>
    <t>Source: Kernel financial reports</t>
  </si>
  <si>
    <t>(1) Committed CAPEX</t>
  </si>
  <si>
    <t>(2) Changes in fair value of bioassets, movements in allowance for doubtful debt, losses on disposal of PPE, impairment, etc.</t>
  </si>
  <si>
    <t>(3) Acquisitions and other related investments of existing capacities</t>
  </si>
  <si>
    <t>(4) Including financial lease</t>
  </si>
  <si>
    <t>(5) Profitably pre-sold stock of sunflower oil/meal, etc. no price risk</t>
  </si>
  <si>
    <t>Balance sheet highlights</t>
  </si>
  <si>
    <t>Invested Capital</t>
  </si>
  <si>
    <t>Financed by</t>
  </si>
  <si>
    <t>Credit metrics highlights</t>
  </si>
  <si>
    <t>Shareholders’ equity</t>
  </si>
  <si>
    <t>P&amp;L highlights</t>
  </si>
  <si>
    <t>EBITDA(1)</t>
  </si>
  <si>
    <t>EBIT</t>
  </si>
  <si>
    <t>EPS</t>
  </si>
  <si>
    <t>USD million except ratios and EPS</t>
  </si>
  <si>
    <t>Net IAS 41 gain</t>
  </si>
  <si>
    <t>Gross profit</t>
  </si>
  <si>
    <t>Net profit(2)</t>
  </si>
  <si>
    <t>Gross margin</t>
  </si>
  <si>
    <t>USD million</t>
  </si>
  <si>
    <t>Operating profit before working capital changes</t>
  </si>
  <si>
    <t>Changes in working capital</t>
  </si>
  <si>
    <t>Cash obtained from/(used in) operations</t>
  </si>
  <si>
    <t>Finance costs paid</t>
  </si>
  <si>
    <t>Net cash obtained from/(used in) operating activities</t>
  </si>
  <si>
    <t>Net PPE disposals/(purchases)</t>
  </si>
  <si>
    <t>Sales/(Purchase) of intangible and other non-current assets</t>
  </si>
  <si>
    <t>Acquisition of subsidiaries and purchase of investment in joint ventures</t>
  </si>
  <si>
    <t>Net cash obtained from/(used in) investing activities</t>
  </si>
  <si>
    <t>Net cash obtained from/(used in) investing &amp; operating activities</t>
  </si>
  <si>
    <t>Inventory</t>
  </si>
  <si>
    <t>Cash &amp; cash equivalents</t>
  </si>
  <si>
    <t>Net trade accounts receivable</t>
  </si>
  <si>
    <t>of which: readily marketable inventories</t>
  </si>
  <si>
    <t>Biological assets</t>
  </si>
  <si>
    <t>Other currents assets</t>
  </si>
  <si>
    <t>Other non-current assets</t>
  </si>
  <si>
    <t>Total assets</t>
  </si>
  <si>
    <t>Short-term liabilities</t>
  </si>
  <si>
    <t>of which: interest-bearing debt</t>
  </si>
  <si>
    <t>Long-term liabilities</t>
  </si>
  <si>
    <t>of which: long-term interest bearing debt</t>
  </si>
  <si>
    <t>Total liabilities</t>
  </si>
  <si>
    <t>Total equity</t>
  </si>
  <si>
    <t>Readily marketable inventories</t>
  </si>
  <si>
    <t>Net debt / EBITDA</t>
  </si>
  <si>
    <t>Adjusted net debt / EBITDA</t>
  </si>
  <si>
    <t>EBITDA / Interest</t>
  </si>
  <si>
    <t>5,2x</t>
  </si>
  <si>
    <t>2,9x</t>
  </si>
  <si>
    <t>1,4x</t>
  </si>
  <si>
    <t>0,9x</t>
  </si>
  <si>
    <t>1,5x</t>
  </si>
  <si>
    <t>1,0x</t>
  </si>
  <si>
    <t>1,9x</t>
  </si>
  <si>
    <t>2,3x</t>
  </si>
  <si>
    <t>3,1x</t>
  </si>
  <si>
    <t>0,8x</t>
  </si>
  <si>
    <t>3,4x</t>
  </si>
  <si>
    <t>2,0x</t>
  </si>
  <si>
    <t>0,3x</t>
  </si>
  <si>
    <t>0,4x</t>
  </si>
  <si>
    <t>0,7x</t>
  </si>
  <si>
    <t>1,7x</t>
  </si>
  <si>
    <t>0,5x</t>
  </si>
  <si>
    <t>1,8x</t>
  </si>
  <si>
    <t>2,5x</t>
  </si>
  <si>
    <t>4,4x</t>
  </si>
  <si>
    <t>5,9x</t>
  </si>
  <si>
    <t>8,3x</t>
  </si>
  <si>
    <t>7,3x</t>
  </si>
  <si>
    <t>5,1x</t>
  </si>
  <si>
    <t>3,8x</t>
  </si>
  <si>
    <t>5,8x</t>
  </si>
  <si>
    <t>6,1x</t>
  </si>
  <si>
    <t>Посівні площі основних сільськогосподарських культур, тис. га</t>
  </si>
  <si>
    <t>зернові та зернобобові культури</t>
  </si>
  <si>
    <t>цукрові буряки (фабричні)</t>
  </si>
  <si>
    <t>соняшник</t>
  </si>
  <si>
    <t>картопля</t>
  </si>
  <si>
    <t>овочі відкритого ґрунту</t>
  </si>
  <si>
    <t>кормові культури</t>
  </si>
  <si>
    <t> 477</t>
  </si>
  <si>
    <t>Виробництво основних сільськогосподарських культур, тис. т</t>
  </si>
  <si>
    <r>
      <t>зернові та зернобобові культури</t>
    </r>
    <r>
      <rPr>
        <vertAlign val="superscript"/>
        <sz val="10"/>
        <rFont val="Verdana"/>
        <family val="2"/>
        <charset val="204"/>
      </rPr>
      <t>1</t>
    </r>
  </si>
  <si>
    <r>
      <t>насіння соняшнику</t>
    </r>
    <r>
      <rPr>
        <vertAlign val="superscript"/>
        <sz val="10"/>
        <rFont val="Verdana"/>
        <family val="2"/>
        <charset val="204"/>
      </rPr>
      <t>1</t>
    </r>
  </si>
  <si>
    <t>овочі</t>
  </si>
  <si>
    <t>плоди та ягоди</t>
  </si>
  <si>
    <t>Урожайність основних сільськогосподарських культур, ц з 1 га площі збирання</t>
  </si>
  <si>
    <r>
      <t>плоди та ягоди</t>
    </r>
    <r>
      <rPr>
        <vertAlign val="superscript"/>
        <sz val="10"/>
        <rFont val="Verdana"/>
        <family val="2"/>
        <charset val="204"/>
      </rPr>
      <t>3</t>
    </r>
  </si>
  <si>
    <t>Net property plant &amp; equipment</t>
  </si>
  <si>
    <t>USD million except ratios</t>
  </si>
  <si>
    <t>average cost of debt</t>
  </si>
  <si>
    <t>Operational leverage</t>
  </si>
  <si>
    <t>Financial leverage</t>
  </si>
  <si>
    <t>EPE</t>
  </si>
  <si>
    <t>mean</t>
  </si>
  <si>
    <t>sd</t>
  </si>
  <si>
    <t>sd/mean</t>
  </si>
  <si>
    <t>Acrage</t>
  </si>
  <si>
    <t>Corn</t>
  </si>
  <si>
    <t>Wheat</t>
  </si>
  <si>
    <t>Sunflower</t>
  </si>
  <si>
    <t>Soybean</t>
  </si>
  <si>
    <t>FY2017</t>
  </si>
  <si>
    <t>Price, NB w/o VAT</t>
  </si>
  <si>
    <t>other</t>
  </si>
  <si>
    <t>Production</t>
  </si>
  <si>
    <t>EBITDA, $/t</t>
  </si>
  <si>
    <t>Crop yields, t/ha</t>
  </si>
  <si>
    <t>sales, mm t</t>
  </si>
  <si>
    <t>growth</t>
  </si>
  <si>
    <t>earnings</t>
  </si>
  <si>
    <t>retain</t>
  </si>
  <si>
    <t>2013-I</t>
  </si>
  <si>
    <t>2013-II</t>
  </si>
  <si>
    <t>2013-III</t>
  </si>
  <si>
    <t>2013-IV</t>
  </si>
  <si>
    <t>2014-I</t>
  </si>
  <si>
    <t>2014-II</t>
  </si>
  <si>
    <t>2014-III</t>
  </si>
  <si>
    <t>2014-IV</t>
  </si>
  <si>
    <t>2015-I</t>
  </si>
  <si>
    <t>2015-II</t>
  </si>
  <si>
    <t>2015-III</t>
  </si>
  <si>
    <t>2015-IV</t>
  </si>
  <si>
    <t>2016-I</t>
  </si>
  <si>
    <t>2016-II</t>
  </si>
  <si>
    <t>2016-III</t>
  </si>
  <si>
    <t>2016-IV</t>
  </si>
  <si>
    <t>2017-I</t>
  </si>
  <si>
    <t>2017-II</t>
  </si>
  <si>
    <t>2017-III</t>
  </si>
  <si>
    <t>2017-IV</t>
  </si>
  <si>
    <t>Value of grain export, mio</t>
  </si>
  <si>
    <t>ave price, $/t</t>
  </si>
  <si>
    <t>EBITDA margin, %</t>
  </si>
  <si>
    <t>EBITDA, mio</t>
  </si>
  <si>
    <t>marginal profit, $/t</t>
  </si>
  <si>
    <t>as a percentage of grain export</t>
  </si>
  <si>
    <t>Value of services, mio</t>
  </si>
  <si>
    <t>Rapeseed</t>
  </si>
  <si>
    <t>as a percentage of terminals throughput + oilseeds crushing</t>
  </si>
  <si>
    <t>Value of bulk oil sales, mio</t>
  </si>
  <si>
    <t>Value of bottled oil sales, mio</t>
  </si>
  <si>
    <t>SFSeeds crushing needed, mmt</t>
  </si>
  <si>
    <r>
      <rPr>
        <b/>
        <sz val="10"/>
        <rFont val="Arial Cyr"/>
        <charset val="204"/>
      </rPr>
      <t>Silo</t>
    </r>
    <r>
      <rPr>
        <sz val="10"/>
        <rFont val="Arial Cyr"/>
        <charset val="204"/>
      </rPr>
      <t xml:space="preserve"> services throughput, mmt</t>
    </r>
  </si>
  <si>
    <r>
      <rPr>
        <b/>
        <sz val="10"/>
        <rFont val="Arial Cyr"/>
        <charset val="204"/>
      </rPr>
      <t>Export terminal</t>
    </r>
    <r>
      <rPr>
        <sz val="10"/>
        <rFont val="Arial Cyr"/>
        <charset val="204"/>
      </rPr>
      <t xml:space="preserve"> throughput, mmt (excl Taman)</t>
    </r>
  </si>
  <si>
    <r>
      <rPr>
        <b/>
        <sz val="10"/>
        <rFont val="Arial Cyr"/>
        <charset val="204"/>
      </rPr>
      <t>Grain export</t>
    </r>
    <r>
      <rPr>
        <sz val="10"/>
        <rFont val="Arial Cyr"/>
        <charset val="204"/>
      </rPr>
      <t>, mmt</t>
    </r>
  </si>
  <si>
    <r>
      <rPr>
        <b/>
        <sz val="10"/>
        <rFont val="Arial Cyr"/>
        <charset val="204"/>
      </rPr>
      <t>Bottled oil</t>
    </r>
    <r>
      <rPr>
        <sz val="10"/>
        <rFont val="Arial Cyr"/>
        <charset val="204"/>
      </rPr>
      <t xml:space="preserve"> sales, mil liters</t>
    </r>
  </si>
  <si>
    <r>
      <rPr>
        <b/>
        <sz val="10"/>
        <rFont val="Arial Cyr"/>
        <charset val="204"/>
      </rPr>
      <t>Bulk oil</t>
    </r>
    <r>
      <rPr>
        <sz val="10"/>
        <rFont val="Arial Cyr"/>
        <charset val="204"/>
      </rPr>
      <t xml:space="preserve"> sales, mmt</t>
    </r>
  </si>
  <si>
    <t>SFO produced</t>
  </si>
  <si>
    <t>SFS crush, mmt</t>
  </si>
  <si>
    <t>Bottled oil produced, mmt</t>
  </si>
  <si>
    <t>Bulk oil produced, mmt</t>
  </si>
  <si>
    <r>
      <rPr>
        <b/>
        <sz val="10"/>
        <rFont val="Arial Cyr"/>
      </rPr>
      <t>Farming,</t>
    </r>
    <r>
      <rPr>
        <sz val="10"/>
        <rFont val="Arial Cyr"/>
        <charset val="204"/>
      </rPr>
      <t xml:space="preserve"> mmt</t>
    </r>
  </si>
  <si>
    <t>Reconciliation</t>
  </si>
  <si>
    <t>Other</t>
  </si>
  <si>
    <t>Discontinued</t>
  </si>
  <si>
    <t>Average commodity prices</t>
  </si>
  <si>
    <t>Wheat Chicago</t>
  </si>
  <si>
    <t>2018-I</t>
  </si>
  <si>
    <t>2018-II</t>
  </si>
  <si>
    <t>2018-III</t>
  </si>
  <si>
    <t>2018-IV</t>
  </si>
  <si>
    <t>name</t>
  </si>
  <si>
    <t>harvest of main crops</t>
  </si>
  <si>
    <t>total harvest</t>
  </si>
  <si>
    <t>TOTAL EBITDA</t>
  </si>
  <si>
    <t>hedge?</t>
  </si>
  <si>
    <t>Corn Chicago</t>
  </si>
  <si>
    <t>Energy spent per ton of sunflower seed crushed, MJ</t>
  </si>
  <si>
    <t>Energy spent per percentage of moisture removed from one ton of grain dried, MJ</t>
  </si>
  <si>
    <t>Energy spent per ton of grain grown, MJ</t>
  </si>
  <si>
    <t>Energy spent per ha, ton of diesel equivalent</t>
  </si>
  <si>
    <t>Energy spent, diesel mmt</t>
  </si>
  <si>
    <t>energy spent per ha, diesel t</t>
  </si>
  <si>
    <t>derived from energy spending harvest</t>
  </si>
  <si>
    <t>Farming total energy consumption. thousand GJ</t>
  </si>
  <si>
    <t>Energy spent per ton of grain grown. MJ</t>
  </si>
  <si>
    <t>FY2018</t>
  </si>
  <si>
    <t>grains</t>
  </si>
  <si>
    <t>sunflower</t>
  </si>
  <si>
    <t>wheat</t>
  </si>
  <si>
    <t>coarse</t>
  </si>
  <si>
    <t>corn</t>
  </si>
  <si>
    <t>barley</t>
  </si>
  <si>
    <t>oats</t>
  </si>
  <si>
    <t>rye</t>
  </si>
  <si>
    <t>soybean</t>
  </si>
  <si>
    <t>rapeseed</t>
  </si>
  <si>
    <t>Energy spent per thousand ha, ton of diesel equivalent</t>
  </si>
  <si>
    <t>Adjustments for:</t>
  </si>
  <si>
    <t>Investing activities:</t>
  </si>
  <si>
    <t>Financing activities:</t>
  </si>
  <si>
    <t>Operating activities: Profit before income tax</t>
  </si>
  <si>
    <t>Amortization and depreciation</t>
  </si>
  <si>
    <t>Finance costs, net</t>
  </si>
  <si>
    <t>Movement in allowance for doubtful receivables</t>
  </si>
  <si>
    <t>Other accruals</t>
  </si>
  <si>
    <t>(Gain)/Loss on disposal of property, plant and equipment</t>
  </si>
  <si>
    <t>Net foreign exchange (gain)/loss</t>
  </si>
  <si>
    <t>Write-offs and impairment loss</t>
  </si>
  <si>
    <t>Net gain arising on financial assets classified as held for trading</t>
  </si>
  <si>
    <t>Changes in</t>
  </si>
  <si>
    <t>Change in trade accounts receivable</t>
  </si>
  <si>
    <t>Change in prepayments and other current assets</t>
  </si>
  <si>
    <t>Change in restricted cash balance</t>
  </si>
  <si>
    <t>Change in taxes recoverable and prepaid</t>
  </si>
  <si>
    <t>Change in biological assets</t>
  </si>
  <si>
    <t>Change in inventories</t>
  </si>
  <si>
    <t>Change in trade accounts payable</t>
  </si>
  <si>
    <t>Change in advances from customers and other current liabilities</t>
  </si>
  <si>
    <t>Cash used in operations</t>
  </si>
  <si>
    <t>Net cash used in operating activities</t>
  </si>
  <si>
    <t>Purchase of property, plant and equipment</t>
  </si>
  <si>
    <t>Proceeds from disposal of property, plant and equipment</t>
  </si>
  <si>
    <t>Purchase of intangible and other non-current assets</t>
  </si>
  <si>
    <t>Disposal of subsidiaries</t>
  </si>
  <si>
    <t>Acquisition of subsidiaries</t>
  </si>
  <si>
    <t>Purchases of financial assets</t>
  </si>
  <si>
    <t>Amount advanced for subsidiaries</t>
  </si>
  <si>
    <t>Net cash used in investing activities</t>
  </si>
  <si>
    <t>Proceeds from borrowings</t>
  </si>
  <si>
    <t>Repayment of borrowings</t>
  </si>
  <si>
    <t>Proceeds from share premium reserve increase</t>
  </si>
  <si>
    <t>Issued capital</t>
  </si>
  <si>
    <t>Net cash generated by financing activities</t>
  </si>
  <si>
    <t>Effect of exchange rate changes on the balance of cash held in foreign currencies</t>
  </si>
  <si>
    <t>Net increase/(decrease) in cash and cash equivalents</t>
  </si>
  <si>
    <t>Cash and cash equivalents, at the beginning of the period</t>
  </si>
  <si>
    <t>Cash and cash equivalents, at the end of the period</t>
  </si>
  <si>
    <t>Net change in fair value of biological assets and agricultural produce</t>
  </si>
  <si>
    <t>Share of loss/(gain) of joint ventures</t>
  </si>
  <si>
    <t>Gain on sales of subsidiaries</t>
  </si>
  <si>
    <t>Repayment of reimbursed debt</t>
  </si>
  <si>
    <t>Payment of dividends</t>
  </si>
  <si>
    <t>Acquisition of non-controlling interests</t>
  </si>
  <si>
    <t>Purchase of investments in joint ventures</t>
  </si>
  <si>
    <t>Other losses</t>
  </si>
  <si>
    <t>Assets</t>
  </si>
  <si>
    <t>Current assets</t>
  </si>
  <si>
    <t>Non-current assets</t>
  </si>
  <si>
    <t>Liabilities and equity</t>
  </si>
  <si>
    <t>Current liabilities</t>
  </si>
  <si>
    <t>Non-current liabilities</t>
  </si>
  <si>
    <t>Equity attributable to Kernel Holding S,A, equity holders</t>
  </si>
  <si>
    <t>Assets classified as held for sale</t>
  </si>
  <si>
    <t>Total current assets</t>
  </si>
  <si>
    <t>Intangible assets net</t>
  </si>
  <si>
    <t>Goodwill</t>
  </si>
  <si>
    <t>Deferred tax assets</t>
  </si>
  <si>
    <t>Total non-current assets</t>
  </si>
  <si>
    <t>Total current liabilities</t>
  </si>
  <si>
    <t>Obligations under finance leases</t>
  </si>
  <si>
    <t>Deferred tax liabilities</t>
  </si>
  <si>
    <t>Total non-current liabilities</t>
  </si>
  <si>
    <t>Equity attributable to Kernel Holding</t>
  </si>
  <si>
    <t>Share premium reserve</t>
  </si>
  <si>
    <t>Additional paid-in capital</t>
  </si>
  <si>
    <t>Equity-settled employee benefits reserve</t>
  </si>
  <si>
    <t>Revaluation reserve</t>
  </si>
  <si>
    <t>Translation reserve</t>
  </si>
  <si>
    <t>Retained earnings</t>
  </si>
  <si>
    <t>Non-controlling interests</t>
  </si>
  <si>
    <t>Total liabilities and equity</t>
  </si>
  <si>
    <t>Book value</t>
  </si>
  <si>
    <t>Book value per share (in USD)</t>
  </si>
  <si>
    <t>Diluted number of shares</t>
  </si>
  <si>
    <t>Diluted book value per share (in USD)</t>
  </si>
  <si>
    <t>Total equity attributable to Kernel Holding S.A. equity holders</t>
  </si>
  <si>
    <t>Cash and cash equivalents</t>
  </si>
  <si>
    <t>Trade accounts receivable net</t>
  </si>
  <si>
    <t>Prepayments to suppliers and other current assets net</t>
  </si>
  <si>
    <t>Corporate income tax prepaid</t>
  </si>
  <si>
    <t>Taxes recoverable and prepaid net</t>
  </si>
  <si>
    <t>Other financial assets</t>
  </si>
  <si>
    <t>Property plant and equipment net</t>
  </si>
  <si>
    <t>Investments in joint ventures</t>
  </si>
  <si>
    <t>Trade accounts payable</t>
  </si>
  <si>
    <t>Advances from customers and other current liabilities</t>
  </si>
  <si>
    <t>Short-term borrowings</t>
  </si>
  <si>
    <t>Current portion of long-term borrowings</t>
  </si>
  <si>
    <t>Long-term borrowings</t>
  </si>
  <si>
    <t>Other non-current liabilities</t>
  </si>
  <si>
    <t>Number of shares</t>
  </si>
  <si>
    <t>Share premium reserve 463879 463879 463879 463879</t>
  </si>
  <si>
    <t>Additional paid-in capital 39944 39944 39944 39944</t>
  </si>
  <si>
    <t>Liabilities directly associated with assets classified as held for sale</t>
  </si>
  <si>
    <t>Available-for-sale financial assets</t>
  </si>
  <si>
    <t>Cash 98956 40140 78827 106521</t>
  </si>
  <si>
    <t>Trade accounts receivable net 169750 161820 149600 109905</t>
  </si>
  <si>
    <t>Prepayments to suppliers and other current assets net 12 87019 119581 118353 95195</t>
  </si>
  <si>
    <t>Corporate income tax prepaid 10 10316 19645 19323 -</t>
  </si>
  <si>
    <t>Taxes recoverable and prepaid net 171049 232252 190695 250787</t>
  </si>
  <si>
    <t>Inventory 554505 742457 270248 802021</t>
  </si>
  <si>
    <t>Biological assets 67310 21206 247268 45790</t>
  </si>
  <si>
    <t>Assets classified as held for sale 13721 33213 23176 21068</t>
  </si>
  <si>
    <t>Total current assets 1172626 1370314 1097490 1431287</t>
  </si>
  <si>
    <t>Property plant and equipment net 6 664142 739881 767317 716237</t>
  </si>
  <si>
    <t>Intangible assets net 7 106582 147405 162287 113392</t>
  </si>
  <si>
    <t>Goodwill 7 140995 157431 157431 139455</t>
  </si>
  <si>
    <t>Investments in joint ventures 97801 98432 94026 97132</t>
  </si>
  <si>
    <t>Deferred tax assets 10 20381 13058 22850 20780</t>
  </si>
  <si>
    <t>Other non-current assets 10 12 62262 54668 65541 39503</t>
  </si>
  <si>
    <t>Total non-current assets 1092163 1210875 1269452 1126499</t>
  </si>
  <si>
    <t>Total assets 2264789 2581189 2366942 2557786</t>
  </si>
  <si>
    <t>Trade accounts payable 12 59587 59920 51751 49264</t>
  </si>
  <si>
    <t>Advances from customers and other current liabilities 12 93629 123190 202051 155789</t>
  </si>
  <si>
    <t>Short-term borrowings 8 586770 629637 398700 656676</t>
  </si>
  <si>
    <t>Current portion of long-term borrowings 9 92668 89583 50893 61014</t>
  </si>
  <si>
    <t>Liabilities directly associated with assets classified as held for sale 6035 15454 1909 -</t>
  </si>
  <si>
    <t>Total current liabilities 838689 917784 705304 922743</t>
  </si>
  <si>
    <t>Long-term borrowings 9 315780 316776 256630 312809</t>
  </si>
  <si>
    <t>Obligations under finance lease 13675 15090 19093 14028</t>
  </si>
  <si>
    <t>Deferred tax liabilities 10 16117 23215 27721 26397</t>
  </si>
  <si>
    <t>Other non-current liabilities 4970 4146 5839 4420</t>
  </si>
  <si>
    <t>Total non-current liabilities 350542 359227 309283 357654</t>
  </si>
  <si>
    <t>Issued capital 2104 2104 2104 2104</t>
  </si>
  <si>
    <t>Equity-settled employee benefits reserve 3028 3028 3028 1211</t>
  </si>
  <si>
    <t>Revaluation reserve 39456 40053 40053 15049</t>
  </si>
  <si>
    <t>Translation reserve (348260) (161000) (160941) (162173)</t>
  </si>
  <si>
    <t>Retained earnings 878718 903853 946772 901805</t>
  </si>
  <si>
    <t>Non-controlling interest (3311) 12317 17516 15570</t>
  </si>
  <si>
    <t>Total equity 1075558 1304178 1352355 1277389</t>
  </si>
  <si>
    <t>Total liabilities and equity 2264789 2581189 2366942 2557786</t>
  </si>
  <si>
    <t>Book value 1078869 1291861 1334839 1261819</t>
  </si>
  <si>
    <t>Number of shares 79683410 79683410 79683410 79683410</t>
  </si>
  <si>
    <t>Diluted number of shares 79782404 79932998 80035037 80037406</t>
  </si>
  <si>
    <t>Total equity attributable to Kernel Holding S,A, equity holders 1078869 1291861 1334839 1261819</t>
  </si>
  <si>
    <t>Book value per share (in USD) 13,54 16,21 16,75 15,84</t>
  </si>
  <si>
    <t>Diluted book value per share (in USD) 13,52 16,16 16,68 15,77</t>
  </si>
  <si>
    <t>farming tonnage</t>
  </si>
  <si>
    <t>as a percentage of harvest</t>
  </si>
  <si>
    <t>Diesel NW Europe</t>
  </si>
  <si>
    <t>seasonality</t>
  </si>
  <si>
    <t>cost of diesel per ton of harvest</t>
  </si>
  <si>
    <t>grain price</t>
  </si>
  <si>
    <t>2019-I</t>
  </si>
  <si>
    <t>2019-II</t>
  </si>
  <si>
    <t>2019-III</t>
  </si>
  <si>
    <t>2019-IV</t>
  </si>
  <si>
    <t>FY2019</t>
  </si>
  <si>
    <t>annual interrest rate</t>
  </si>
  <si>
    <t>depreciation rate</t>
  </si>
  <si>
    <t>bio assets</t>
  </si>
  <si>
    <t>farming</t>
  </si>
  <si>
    <t>inventory</t>
  </si>
  <si>
    <t>sales</t>
  </si>
  <si>
    <t>% of next Q sales</t>
  </si>
  <si>
    <t>Profit attributable to shareholders</t>
  </si>
  <si>
    <t>D / E</t>
  </si>
  <si>
    <t>CF from operations</t>
  </si>
  <si>
    <t>GOOD CONDITIONS</t>
  </si>
  <si>
    <t>ROE</t>
  </si>
  <si>
    <t>TTM ROE</t>
  </si>
  <si>
    <t>Annualized growth</t>
  </si>
  <si>
    <t>BAD CONDITIONS</t>
  </si>
  <si>
    <t>GOOD</t>
  </si>
  <si>
    <t>BAD</t>
  </si>
  <si>
    <t>Operating margin</t>
  </si>
  <si>
    <t>GOOD EX</t>
  </si>
  <si>
    <t>BAD EX</t>
  </si>
  <si>
    <t>GOOD CONDITIONS &amp; EXPANSION</t>
  </si>
  <si>
    <t>BAD CONDITIONS &amp; EXPANSION</t>
  </si>
  <si>
    <t>Diluted EPS</t>
  </si>
  <si>
    <t>FY2017 EBITDA, mio</t>
  </si>
  <si>
    <t>FY2018 EBITDA, mio</t>
  </si>
  <si>
    <t>FY2019 EBITDA, mio</t>
  </si>
  <si>
    <t>FY2017 Diluted EPS, $</t>
  </si>
  <si>
    <t>FY2018 Diluted EPS, $</t>
  </si>
  <si>
    <t>FY2017 ROE</t>
  </si>
  <si>
    <t>FY2018 ROE</t>
  </si>
  <si>
    <t>FY2019 ROE</t>
  </si>
  <si>
    <t>end of FY2019 Diluted BPS, $</t>
  </si>
  <si>
    <t>annualized growth</t>
  </si>
  <si>
    <t>FY2017-FY2019 maximum D/E ratio</t>
  </si>
  <si>
    <t>Q3FY2017</t>
  </si>
  <si>
    <t>main scenario forecast</t>
  </si>
  <si>
    <t>actual data</t>
  </si>
  <si>
    <t>difference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</si>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</sst>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"/>
    <numFmt numFmtId="166" formatCode="0.000"/>
    <numFmt numFmtId="167" formatCode="#,##0.0"/>
  </numFmts>
  <fonts count="5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i/>
      <sz val="8"/>
      <color indexed="54"/>
      <name val="Arial Cyr"/>
      <charset val="204"/>
    </font>
    <font>
      <sz val="10"/>
      <name val="Arial"/>
      <family val="2"/>
      <charset val="204"/>
    </font>
    <font>
      <b/>
      <sz val="11"/>
      <color indexed="54"/>
      <name val="Arial"/>
      <family val="2"/>
      <charset val="204"/>
    </font>
    <font>
      <sz val="8"/>
      <color indexed="54"/>
      <name val="Arial"/>
      <family val="2"/>
      <charset val="204"/>
    </font>
    <font>
      <i/>
      <sz val="8"/>
      <color indexed="54"/>
      <name val="Arial"/>
      <family val="2"/>
      <charset val="204"/>
    </font>
    <font>
      <b/>
      <sz val="8"/>
      <color indexed="54"/>
      <name val="Arial"/>
      <family val="2"/>
      <charset val="204"/>
    </font>
    <font>
      <sz val="10"/>
      <name val="Times New Roman"/>
      <family val="1"/>
      <charset val="204"/>
    </font>
    <font>
      <sz val="10"/>
      <name val="Verdana"/>
      <family val="2"/>
      <charset val="204"/>
    </font>
    <font>
      <vertAlign val="superscript"/>
      <sz val="10"/>
      <name val="Verdana"/>
      <family val="2"/>
      <charset val="204"/>
    </font>
    <font>
      <sz val="10"/>
      <color indexed="60"/>
      <name val="Arial Cyr"/>
      <charset val="204"/>
    </font>
    <font>
      <b/>
      <sz val="10"/>
      <name val="Arial Cyr"/>
    </font>
    <font>
      <i/>
      <sz val="8"/>
      <color indexed="62"/>
      <name val="Arial Cyr"/>
    </font>
    <font>
      <b/>
      <sz val="16"/>
      <color indexed="62"/>
      <name val="Arial Cyr"/>
    </font>
    <font>
      <b/>
      <sz val="16"/>
      <color indexed="50"/>
      <name val="Arial Cyr"/>
    </font>
    <font>
      <b/>
      <sz val="16"/>
      <color indexed="36"/>
      <name val="Arial Cyr"/>
    </font>
    <font>
      <b/>
      <sz val="16"/>
      <color indexed="53"/>
      <name val="Arial Cyr"/>
    </font>
    <font>
      <b/>
      <sz val="10"/>
      <color indexed="53"/>
      <name val="Arial Cyr"/>
    </font>
    <font>
      <b/>
      <sz val="10"/>
      <color indexed="36"/>
      <name val="Arial Cyr"/>
    </font>
    <font>
      <b/>
      <sz val="16"/>
      <color indexed="57"/>
      <name val="Arial Cyr"/>
    </font>
    <font>
      <sz val="10"/>
      <name val="Arial Cyr"/>
    </font>
    <font>
      <b/>
      <sz val="9"/>
      <color indexed="81"/>
      <name val="Tahoma"/>
      <family val="2"/>
      <charset val="204"/>
    </font>
    <font>
      <sz val="10"/>
      <color indexed="23"/>
      <name val="Arial Cyr"/>
      <charset val="204"/>
    </font>
    <font>
      <b/>
      <i/>
      <sz val="10"/>
      <name val="Arial Cyr"/>
    </font>
    <font>
      <i/>
      <sz val="10"/>
      <name val="Arial Cyr"/>
    </font>
    <font>
      <b/>
      <i/>
      <sz val="10"/>
      <color indexed="23"/>
      <name val="Arial Cyr"/>
    </font>
    <font>
      <b/>
      <i/>
      <sz val="10"/>
      <color indexed="60"/>
      <name val="Arial Cyr"/>
      <charset val="204"/>
    </font>
    <font>
      <b/>
      <sz val="10"/>
      <name val="Verdana"/>
      <family val="2"/>
      <charset val="204"/>
    </font>
    <font>
      <sz val="10"/>
      <color indexed="10"/>
      <name val="Arial Cyr"/>
      <charset val="204"/>
    </font>
    <font>
      <i/>
      <sz val="10"/>
      <color indexed="23"/>
      <name val="Arial Cyr"/>
    </font>
    <font>
      <sz val="10"/>
      <color indexed="36"/>
      <name val="Arial Cyr"/>
      <charset val="204"/>
    </font>
    <font>
      <sz val="10"/>
      <color indexed="53"/>
      <name val="Arial Cyr"/>
      <charset val="204"/>
    </font>
    <font>
      <b/>
      <sz val="10"/>
      <color rgb="FFFF0000"/>
      <name val="Arial Cyr"/>
      <charset val="204"/>
    </font>
    <font>
      <sz val="10"/>
      <color rgb="FFFF0000"/>
      <name val="Arial Cyr"/>
      <charset val="204"/>
    </font>
    <font>
      <b/>
      <i/>
      <sz val="10"/>
      <color theme="5" tint="0.39997558519241921"/>
      <name val="Arial Cyr"/>
    </font>
    <font>
      <b/>
      <i/>
      <sz val="10"/>
      <color theme="9"/>
      <name val="Arial Cyr"/>
    </font>
    <font>
      <b/>
      <i/>
      <sz val="10"/>
      <color theme="4" tint="-0.249977111117893"/>
      <name val="Arial Cyr"/>
    </font>
    <font>
      <b/>
      <i/>
      <sz val="10"/>
      <color rgb="FFFFFF00"/>
      <name val="Arial Cyr"/>
    </font>
    <font>
      <b/>
      <i/>
      <sz val="10"/>
      <color theme="5"/>
      <name val="Arial Cyr"/>
    </font>
    <font>
      <sz val="10"/>
      <color rgb="FFC00000"/>
      <name val="Arial Cyr"/>
      <charset val="204"/>
    </font>
    <font>
      <b/>
      <sz val="10"/>
      <color theme="9" tint="-0.249977111117893"/>
      <name val="Arial Cyr"/>
    </font>
    <font>
      <b/>
      <sz val="10"/>
      <color rgb="FFFF0000"/>
      <name val="Arial Cyr"/>
    </font>
    <font>
      <sz val="10"/>
      <color theme="5" tint="-0.249977111117893"/>
      <name val="Arial Cyr"/>
    </font>
    <font>
      <i/>
      <sz val="10"/>
      <color theme="5" tint="-0.249977111117893"/>
      <name val="Arial Cyr"/>
    </font>
    <font>
      <b/>
      <i/>
      <sz val="10"/>
      <color theme="5" tint="-0.249977111117893"/>
      <name val="Arial Cyr"/>
    </font>
    <font>
      <sz val="10"/>
      <color theme="5" tint="-0.249977111117893"/>
      <name val="Arial Cyr"/>
      <charset val="204"/>
    </font>
    <font>
      <sz val="10"/>
      <color theme="9" tint="-0.249977111117893"/>
      <name val="Arial Cyr"/>
      <charset val="204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0">
    <xf numFmtId="0" fontId="0" fillId="0" borderId="0" xfId="0"/>
    <xf numFmtId="0" fontId="0" fillId="0" borderId="1" xfId="0" applyBorder="1"/>
    <xf numFmtId="10" fontId="0" fillId="0" borderId="1" xfId="0" applyNumberFormat="1" applyBorder="1"/>
    <xf numFmtId="0" fontId="0" fillId="0" borderId="2" xfId="0" applyBorder="1"/>
    <xf numFmtId="10" fontId="0" fillId="0" borderId="2" xfId="0" applyNumberFormat="1" applyBorder="1"/>
    <xf numFmtId="0" fontId="2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5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0" fillId="0" borderId="0" xfId="1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0" xfId="0" applyNumberFormat="1"/>
    <xf numFmtId="0" fontId="11" fillId="0" borderId="6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right" vertical="center" wrapText="1"/>
    </xf>
    <xf numFmtId="0" fontId="10" fillId="0" borderId="6" xfId="0" applyFont="1" applyBorder="1" applyAlignment="1">
      <alignment horizontal="right" vertical="center" wrapText="1"/>
    </xf>
    <xf numFmtId="0" fontId="8" fillId="0" borderId="0" xfId="0" applyFont="1" applyAlignment="1">
      <alignment horizontal="right"/>
    </xf>
    <xf numFmtId="0" fontId="13" fillId="0" borderId="0" xfId="0" applyFont="1"/>
    <xf numFmtId="9" fontId="13" fillId="0" borderId="0" xfId="1" applyFont="1"/>
    <xf numFmtId="9" fontId="0" fillId="0" borderId="0" xfId="1" applyFont="1"/>
    <xf numFmtId="2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center"/>
    </xf>
    <xf numFmtId="49" fontId="14" fillId="0" borderId="0" xfId="0" applyNumberFormat="1" applyFont="1" applyAlignment="1">
      <alignment horizontal="center"/>
    </xf>
    <xf numFmtId="1" fontId="0" fillId="0" borderId="0" xfId="0" applyNumberFormat="1"/>
    <xf numFmtId="1" fontId="15" fillId="0" borderId="0" xfId="0" applyNumberFormat="1" applyFont="1"/>
    <xf numFmtId="9" fontId="15" fillId="0" borderId="0" xfId="1" applyFont="1"/>
    <xf numFmtId="165" fontId="0" fillId="0" borderId="1" xfId="0" applyNumberFormat="1" applyBorder="1"/>
    <xf numFmtId="0" fontId="4" fillId="0" borderId="1" xfId="0" applyFont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65" fontId="21" fillId="0" borderId="0" xfId="0" applyNumberFormat="1" applyFont="1"/>
    <xf numFmtId="0" fontId="22" fillId="0" borderId="0" xfId="0" applyFont="1"/>
    <xf numFmtId="0" fontId="20" fillId="0" borderId="0" xfId="0" applyFont="1"/>
    <xf numFmtId="3" fontId="14" fillId="0" borderId="0" xfId="0" applyNumberFormat="1" applyFont="1" applyAlignment="1">
      <alignment horizontal="center"/>
    </xf>
    <xf numFmtId="164" fontId="14" fillId="0" borderId="0" xfId="1" applyNumberFormat="1" applyFont="1"/>
    <xf numFmtId="0" fontId="0" fillId="0" borderId="7" xfId="0" applyBorder="1"/>
    <xf numFmtId="2" fontId="0" fillId="0" borderId="7" xfId="0" applyNumberFormat="1" applyFill="1" applyBorder="1"/>
    <xf numFmtId="2" fontId="0" fillId="0" borderId="8" xfId="0" applyNumberFormat="1" applyFill="1" applyBorder="1"/>
    <xf numFmtId="2" fontId="0" fillId="2" borderId="8" xfId="0" applyNumberFormat="1" applyFill="1" applyBorder="1"/>
    <xf numFmtId="0" fontId="0" fillId="0" borderId="3" xfId="0" applyBorder="1"/>
    <xf numFmtId="0" fontId="0" fillId="3" borderId="3" xfId="0" applyFill="1" applyBorder="1"/>
    <xf numFmtId="0" fontId="0" fillId="2" borderId="3" xfId="0" applyFill="1" applyBorder="1"/>
    <xf numFmtId="0" fontId="0" fillId="2" borderId="9" xfId="0" applyFill="1" applyBorder="1"/>
    <xf numFmtId="0" fontId="0" fillId="4" borderId="10" xfId="0" applyFill="1" applyBorder="1"/>
    <xf numFmtId="0" fontId="0" fillId="4" borderId="3" xfId="0" applyFill="1" applyBorder="1"/>
    <xf numFmtId="0" fontId="0" fillId="5" borderId="10" xfId="0" applyFill="1" applyBorder="1"/>
    <xf numFmtId="0" fontId="0" fillId="5" borderId="3" xfId="0" applyFill="1" applyBorder="1"/>
    <xf numFmtId="0" fontId="0" fillId="6" borderId="3" xfId="0" applyFill="1" applyBorder="1"/>
    <xf numFmtId="0" fontId="0" fillId="0" borderId="11" xfId="0" applyBorder="1"/>
    <xf numFmtId="0" fontId="0" fillId="0" borderId="12" xfId="0" applyBorder="1"/>
    <xf numFmtId="0" fontId="0" fillId="2" borderId="11" xfId="0" applyFill="1" applyBorder="1"/>
    <xf numFmtId="0" fontId="0" fillId="2" borderId="13" xfId="0" applyFill="1" applyBorder="1"/>
    <xf numFmtId="0" fontId="23" fillId="7" borderId="12" xfId="0" applyFont="1" applyFill="1" applyBorder="1"/>
    <xf numFmtId="0" fontId="0" fillId="7" borderId="3" xfId="0" applyFill="1" applyBorder="1"/>
    <xf numFmtId="0" fontId="0" fillId="5" borderId="12" xfId="0" applyFill="1" applyBorder="1"/>
    <xf numFmtId="0" fontId="0" fillId="8" borderId="9" xfId="0" applyFill="1" applyBorder="1"/>
    <xf numFmtId="0" fontId="0" fillId="0" borderId="5" xfId="0" applyBorder="1"/>
    <xf numFmtId="2" fontId="0" fillId="0" borderId="14" xfId="0" applyNumberFormat="1" applyFill="1" applyBorder="1"/>
    <xf numFmtId="2" fontId="0" fillId="0" borderId="15" xfId="0" applyNumberFormat="1" applyFill="1" applyBorder="1"/>
    <xf numFmtId="2" fontId="0" fillId="2" borderId="15" xfId="0" applyNumberFormat="1" applyFill="1" applyBorder="1"/>
    <xf numFmtId="0" fontId="0" fillId="0" borderId="16" xfId="0" applyBorder="1"/>
    <xf numFmtId="0" fontId="0" fillId="0" borderId="17" xfId="0" applyBorder="1"/>
    <xf numFmtId="2" fontId="0" fillId="0" borderId="16" xfId="0" applyNumberFormat="1" applyFill="1" applyBorder="1"/>
    <xf numFmtId="2" fontId="0" fillId="0" borderId="17" xfId="0" applyNumberFormat="1" applyFill="1" applyBorder="1"/>
    <xf numFmtId="2" fontId="0" fillId="0" borderId="18" xfId="0" applyNumberFormat="1" applyFill="1" applyBorder="1"/>
    <xf numFmtId="2" fontId="0" fillId="0" borderId="19" xfId="0" applyNumberFormat="1" applyFill="1" applyBorder="1"/>
    <xf numFmtId="2" fontId="0" fillId="2" borderId="18" xfId="0" applyNumberFormat="1" applyFill="1" applyBorder="1"/>
    <xf numFmtId="2" fontId="0" fillId="2" borderId="19" xfId="0" applyNumberFormat="1" applyFill="1" applyBorder="1"/>
    <xf numFmtId="2" fontId="0" fillId="0" borderId="12" xfId="0" applyNumberFormat="1" applyFill="1" applyBorder="1"/>
    <xf numFmtId="2" fontId="0" fillId="0" borderId="11" xfId="0" applyNumberFormat="1" applyFill="1" applyBorder="1"/>
    <xf numFmtId="2" fontId="0" fillId="2" borderId="11" xfId="0" applyNumberFormat="1" applyFill="1" applyBorder="1"/>
    <xf numFmtId="1" fontId="14" fillId="0" borderId="0" xfId="0" applyNumberFormat="1" applyFont="1"/>
    <xf numFmtId="1" fontId="14" fillId="9" borderId="0" xfId="0" applyNumberFormat="1" applyFont="1" applyFill="1"/>
    <xf numFmtId="0" fontId="0" fillId="3" borderId="10" xfId="0" applyFill="1" applyBorder="1"/>
    <xf numFmtId="0" fontId="0" fillId="0" borderId="20" xfId="0" applyFill="1" applyBorder="1"/>
    <xf numFmtId="0" fontId="26" fillId="0" borderId="7" xfId="0" applyFont="1" applyBorder="1"/>
    <xf numFmtId="0" fontId="26" fillId="0" borderId="17" xfId="0" applyFont="1" applyBorder="1"/>
    <xf numFmtId="0" fontId="26" fillId="0" borderId="16" xfId="0" applyFont="1" applyBorder="1"/>
    <xf numFmtId="2" fontId="26" fillId="0" borderId="7" xfId="0" applyNumberFormat="1" applyFont="1" applyBorder="1"/>
    <xf numFmtId="2" fontId="26" fillId="0" borderId="17" xfId="0" applyNumberFormat="1" applyFont="1" applyBorder="1"/>
    <xf numFmtId="2" fontId="26" fillId="0" borderId="8" xfId="0" applyNumberFormat="1" applyFont="1" applyBorder="1"/>
    <xf numFmtId="2" fontId="26" fillId="0" borderId="19" xfId="0" applyNumberFormat="1" applyFont="1" applyBorder="1"/>
    <xf numFmtId="2" fontId="0" fillId="3" borderId="21" xfId="0" applyNumberFormat="1" applyFill="1" applyBorder="1"/>
    <xf numFmtId="2" fontId="0" fillId="3" borderId="1" xfId="0" applyNumberFormat="1" applyFill="1" applyBorder="1"/>
    <xf numFmtId="2" fontId="0" fillId="3" borderId="22" xfId="0" applyNumberFormat="1" applyFill="1" applyBorder="1"/>
    <xf numFmtId="2" fontId="0" fillId="3" borderId="5" xfId="0" applyNumberFormat="1" applyFill="1" applyBorder="1"/>
    <xf numFmtId="2" fontId="0" fillId="3" borderId="3" xfId="0" applyNumberFormat="1" applyFill="1" applyBorder="1"/>
    <xf numFmtId="2" fontId="0" fillId="6" borderId="23" xfId="0" applyNumberFormat="1" applyFill="1" applyBorder="1"/>
    <xf numFmtId="2" fontId="0" fillId="6" borderId="24" xfId="0" applyNumberFormat="1" applyFill="1" applyBorder="1"/>
    <xf numFmtId="2" fontId="0" fillId="6" borderId="22" xfId="0" applyNumberFormat="1" applyFill="1" applyBorder="1"/>
    <xf numFmtId="2" fontId="0" fillId="6" borderId="25" xfId="0" applyNumberFormat="1" applyFill="1" applyBorder="1"/>
    <xf numFmtId="2" fontId="0" fillId="6" borderId="3" xfId="0" applyNumberFormat="1" applyFill="1" applyBorder="1"/>
    <xf numFmtId="2" fontId="0" fillId="2" borderId="26" xfId="0" applyNumberFormat="1" applyFill="1" applyBorder="1"/>
    <xf numFmtId="2" fontId="0" fillId="2" borderId="27" xfId="0" applyNumberFormat="1" applyFill="1" applyBorder="1"/>
    <xf numFmtId="2" fontId="0" fillId="2" borderId="28" xfId="0" applyNumberFormat="1" applyFill="1" applyBorder="1"/>
    <xf numFmtId="2" fontId="0" fillId="2" borderId="29" xfId="0" applyNumberFormat="1" applyFill="1" applyBorder="1"/>
    <xf numFmtId="2" fontId="0" fillId="2" borderId="13" xfId="0" applyNumberFormat="1" applyFill="1" applyBorder="1"/>
    <xf numFmtId="2" fontId="0" fillId="0" borderId="26" xfId="0" applyNumberFormat="1" applyFill="1" applyBorder="1"/>
    <xf numFmtId="2" fontId="0" fillId="0" borderId="27" xfId="0" applyNumberFormat="1" applyFill="1" applyBorder="1"/>
    <xf numFmtId="2" fontId="0" fillId="0" borderId="28" xfId="0" applyNumberFormat="1" applyFill="1" applyBorder="1"/>
    <xf numFmtId="2" fontId="0" fillId="0" borderId="29" xfId="0" applyNumberFormat="1" applyFill="1" applyBorder="1"/>
    <xf numFmtId="2" fontId="0" fillId="0" borderId="13" xfId="0" applyNumberFormat="1" applyFill="1" applyBorder="1"/>
    <xf numFmtId="2" fontId="26" fillId="0" borderId="27" xfId="0" applyNumberFormat="1" applyFont="1" applyFill="1" applyBorder="1"/>
    <xf numFmtId="2" fontId="26" fillId="0" borderId="28" xfId="0" applyNumberFormat="1" applyFont="1" applyFill="1" applyBorder="1"/>
    <xf numFmtId="2" fontId="0" fillId="3" borderId="23" xfId="0" applyNumberFormat="1" applyFill="1" applyBorder="1"/>
    <xf numFmtId="2" fontId="0" fillId="3" borderId="24" xfId="0" applyNumberFormat="1" applyFill="1" applyBorder="1"/>
    <xf numFmtId="2" fontId="0" fillId="3" borderId="30" xfId="0" applyNumberFormat="1" applyFill="1" applyBorder="1"/>
    <xf numFmtId="2" fontId="0" fillId="3" borderId="25" xfId="0" applyNumberFormat="1" applyFill="1" applyBorder="1"/>
    <xf numFmtId="2" fontId="0" fillId="3" borderId="10" xfId="0" applyNumberFormat="1" applyFill="1" applyBorder="1"/>
    <xf numFmtId="2" fontId="0" fillId="4" borderId="23" xfId="0" applyNumberFormat="1" applyFill="1" applyBorder="1"/>
    <xf numFmtId="2" fontId="0" fillId="4" borderId="24" xfId="0" applyNumberFormat="1" applyFill="1" applyBorder="1"/>
    <xf numFmtId="2" fontId="0" fillId="4" borderId="22" xfId="0" applyNumberFormat="1" applyFill="1" applyBorder="1"/>
    <xf numFmtId="2" fontId="0" fillId="4" borderId="25" xfId="0" applyNumberFormat="1" applyFill="1" applyBorder="1"/>
    <xf numFmtId="2" fontId="0" fillId="4" borderId="3" xfId="0" applyNumberFormat="1" applyFill="1" applyBorder="1"/>
    <xf numFmtId="2" fontId="0" fillId="5" borderId="23" xfId="0" applyNumberFormat="1" applyFill="1" applyBorder="1"/>
    <xf numFmtId="2" fontId="0" fillId="5" borderId="24" xfId="0" applyNumberFormat="1" applyFill="1" applyBorder="1"/>
    <xf numFmtId="2" fontId="0" fillId="5" borderId="30" xfId="0" applyNumberFormat="1" applyFill="1" applyBorder="1"/>
    <xf numFmtId="2" fontId="0" fillId="5" borderId="25" xfId="0" applyNumberFormat="1" applyFill="1" applyBorder="1"/>
    <xf numFmtId="2" fontId="0" fillId="5" borderId="10" xfId="0" applyNumberFormat="1" applyFill="1" applyBorder="1"/>
    <xf numFmtId="2" fontId="0" fillId="7" borderId="16" xfId="0" applyNumberFormat="1" applyFill="1" applyBorder="1"/>
    <xf numFmtId="2" fontId="0" fillId="7" borderId="7" xfId="0" applyNumberFormat="1" applyFill="1" applyBorder="1"/>
    <xf numFmtId="2" fontId="0" fillId="7" borderId="17" xfId="0" applyNumberFormat="1" applyFill="1" applyBorder="1"/>
    <xf numFmtId="2" fontId="0" fillId="7" borderId="14" xfId="0" applyNumberFormat="1" applyFill="1" applyBorder="1"/>
    <xf numFmtId="2" fontId="0" fillId="7" borderId="12" xfId="0" applyNumberFormat="1" applyFill="1" applyBorder="1"/>
    <xf numFmtId="2" fontId="0" fillId="5" borderId="16" xfId="0" applyNumberFormat="1" applyFill="1" applyBorder="1"/>
    <xf numFmtId="2" fontId="0" fillId="5" borderId="7" xfId="0" applyNumberFormat="1" applyFill="1" applyBorder="1"/>
    <xf numFmtId="2" fontId="0" fillId="5" borderId="17" xfId="0" applyNumberFormat="1" applyFill="1" applyBorder="1"/>
    <xf numFmtId="2" fontId="0" fillId="5" borderId="14" xfId="0" applyNumberFormat="1" applyFill="1" applyBorder="1"/>
    <xf numFmtId="2" fontId="0" fillId="5" borderId="12" xfId="0" applyNumberFormat="1" applyFill="1" applyBorder="1"/>
    <xf numFmtId="2" fontId="26" fillId="5" borderId="7" xfId="0" applyNumberFormat="1" applyFont="1" applyFill="1" applyBorder="1"/>
    <xf numFmtId="2" fontId="26" fillId="5" borderId="17" xfId="0" applyNumberFormat="1" applyFont="1" applyFill="1" applyBorder="1"/>
    <xf numFmtId="2" fontId="0" fillId="8" borderId="31" xfId="0" applyNumberFormat="1" applyFill="1" applyBorder="1"/>
    <xf numFmtId="2" fontId="0" fillId="8" borderId="32" xfId="0" applyNumberFormat="1" applyFill="1" applyBorder="1"/>
    <xf numFmtId="2" fontId="0" fillId="8" borderId="33" xfId="0" applyNumberFormat="1" applyFill="1" applyBorder="1"/>
    <xf numFmtId="2" fontId="0" fillId="8" borderId="34" xfId="0" applyNumberFormat="1" applyFill="1" applyBorder="1"/>
    <xf numFmtId="2" fontId="0" fillId="8" borderId="9" xfId="0" applyNumberFormat="1" applyFill="1" applyBorder="1"/>
    <xf numFmtId="2" fontId="26" fillId="8" borderId="32" xfId="0" applyNumberFormat="1" applyFont="1" applyFill="1" applyBorder="1"/>
    <xf numFmtId="2" fontId="26" fillId="8" borderId="33" xfId="0" applyNumberFormat="1" applyFont="1" applyFill="1" applyBorder="1"/>
    <xf numFmtId="1" fontId="0" fillId="2" borderId="21" xfId="0" applyNumberFormat="1" applyFill="1" applyBorder="1"/>
    <xf numFmtId="1" fontId="0" fillId="2" borderId="1" xfId="0" applyNumberFormat="1" applyFill="1" applyBorder="1"/>
    <xf numFmtId="1" fontId="0" fillId="2" borderId="22" xfId="0" applyNumberFormat="1" applyFill="1" applyBorder="1"/>
    <xf numFmtId="1" fontId="0" fillId="2" borderId="5" xfId="0" applyNumberFormat="1" applyFill="1" applyBorder="1"/>
    <xf numFmtId="1" fontId="0" fillId="2" borderId="3" xfId="0" applyNumberFormat="1" applyFill="1" applyBorder="1"/>
    <xf numFmtId="1" fontId="0" fillId="2" borderId="31" xfId="0" applyNumberFormat="1" applyFill="1" applyBorder="1"/>
    <xf numFmtId="1" fontId="0" fillId="2" borderId="32" xfId="0" applyNumberFormat="1" applyFill="1" applyBorder="1"/>
    <xf numFmtId="1" fontId="0" fillId="2" borderId="33" xfId="0" applyNumberFormat="1" applyFill="1" applyBorder="1"/>
    <xf numFmtId="1" fontId="0" fillId="2" borderId="34" xfId="0" applyNumberFormat="1" applyFill="1" applyBorder="1"/>
    <xf numFmtId="1" fontId="0" fillId="2" borderId="9" xfId="0" applyNumberFormat="1" applyFill="1" applyBorder="1"/>
    <xf numFmtId="9" fontId="0" fillId="2" borderId="1" xfId="1" applyFont="1" applyFill="1" applyBorder="1"/>
    <xf numFmtId="9" fontId="0" fillId="2" borderId="22" xfId="1" applyFont="1" applyFill="1" applyBorder="1"/>
    <xf numFmtId="9" fontId="0" fillId="2" borderId="5" xfId="1" applyFont="1" applyFill="1" applyBorder="1"/>
    <xf numFmtId="9" fontId="0" fillId="2" borderId="3" xfId="1" applyFont="1" applyFill="1" applyBorder="1"/>
    <xf numFmtId="9" fontId="0" fillId="2" borderId="21" xfId="1" applyFont="1" applyFill="1" applyBorder="1"/>
    <xf numFmtId="1" fontId="0" fillId="3" borderId="1" xfId="0" applyNumberFormat="1" applyFill="1" applyBorder="1"/>
    <xf numFmtId="1" fontId="0" fillId="3" borderId="22" xfId="0" applyNumberFormat="1" applyFill="1" applyBorder="1"/>
    <xf numFmtId="1" fontId="0" fillId="3" borderId="5" xfId="0" applyNumberFormat="1" applyFill="1" applyBorder="1"/>
    <xf numFmtId="1" fontId="0" fillId="3" borderId="3" xfId="0" applyNumberFormat="1" applyFill="1" applyBorder="1"/>
    <xf numFmtId="1" fontId="0" fillId="3" borderId="21" xfId="0" applyNumberFormat="1" applyFill="1" applyBorder="1"/>
    <xf numFmtId="1" fontId="0" fillId="6" borderId="1" xfId="0" applyNumberFormat="1" applyFill="1" applyBorder="1"/>
    <xf numFmtId="1" fontId="0" fillId="6" borderId="22" xfId="0" applyNumberFormat="1" applyFill="1" applyBorder="1"/>
    <xf numFmtId="1" fontId="0" fillId="6" borderId="5" xfId="0" applyNumberFormat="1" applyFill="1" applyBorder="1"/>
    <xf numFmtId="1" fontId="0" fillId="6" borderId="3" xfId="0" applyNumberFormat="1" applyFill="1" applyBorder="1"/>
    <xf numFmtId="1" fontId="0" fillId="6" borderId="21" xfId="0" applyNumberFormat="1" applyFill="1" applyBorder="1"/>
    <xf numFmtId="1" fontId="0" fillId="4" borderId="1" xfId="0" applyNumberFormat="1" applyFill="1" applyBorder="1"/>
    <xf numFmtId="1" fontId="0" fillId="4" borderId="22" xfId="0" applyNumberFormat="1" applyFill="1" applyBorder="1"/>
    <xf numFmtId="1" fontId="0" fillId="4" borderId="5" xfId="0" applyNumberFormat="1" applyFill="1" applyBorder="1"/>
    <xf numFmtId="1" fontId="0" fillId="4" borderId="3" xfId="0" applyNumberFormat="1" applyFill="1" applyBorder="1"/>
    <xf numFmtId="1" fontId="0" fillId="4" borderId="21" xfId="0" applyNumberFormat="1" applyFill="1" applyBorder="1"/>
    <xf numFmtId="1" fontId="0" fillId="5" borderId="1" xfId="0" applyNumberFormat="1" applyFill="1" applyBorder="1"/>
    <xf numFmtId="1" fontId="0" fillId="5" borderId="22" xfId="0" applyNumberFormat="1" applyFill="1" applyBorder="1"/>
    <xf numFmtId="1" fontId="0" fillId="5" borderId="5" xfId="0" applyNumberFormat="1" applyFill="1" applyBorder="1"/>
    <xf numFmtId="1" fontId="0" fillId="5" borderId="3" xfId="0" applyNumberFormat="1" applyFill="1" applyBorder="1"/>
    <xf numFmtId="1" fontId="0" fillId="5" borderId="21" xfId="0" applyNumberFormat="1" applyFill="1" applyBorder="1"/>
    <xf numFmtId="1" fontId="0" fillId="7" borderId="1" xfId="0" applyNumberFormat="1" applyFill="1" applyBorder="1"/>
    <xf numFmtId="1" fontId="0" fillId="7" borderId="22" xfId="0" applyNumberFormat="1" applyFill="1" applyBorder="1"/>
    <xf numFmtId="1" fontId="0" fillId="7" borderId="5" xfId="0" applyNumberFormat="1" applyFill="1" applyBorder="1"/>
    <xf numFmtId="1" fontId="0" fillId="7" borderId="3" xfId="0" applyNumberFormat="1" applyFill="1" applyBorder="1"/>
    <xf numFmtId="0" fontId="0" fillId="0" borderId="35" xfId="0" applyBorder="1"/>
    <xf numFmtId="1" fontId="0" fillId="7" borderId="21" xfId="0" applyNumberFormat="1" applyFill="1" applyBorder="1"/>
    <xf numFmtId="2" fontId="26" fillId="10" borderId="1" xfId="0" applyNumberFormat="1" applyFont="1" applyFill="1" applyBorder="1"/>
    <xf numFmtId="2" fontId="26" fillId="10" borderId="22" xfId="0" applyNumberFormat="1" applyFont="1" applyFill="1" applyBorder="1"/>
    <xf numFmtId="2" fontId="0" fillId="10" borderId="21" xfId="0" applyNumberFormat="1" applyFill="1" applyBorder="1"/>
    <xf numFmtId="2" fontId="0" fillId="10" borderId="1" xfId="0" applyNumberFormat="1" applyFill="1" applyBorder="1"/>
    <xf numFmtId="1" fontId="26" fillId="10" borderId="1" xfId="0" applyNumberFormat="1" applyFont="1" applyFill="1" applyBorder="1"/>
    <xf numFmtId="1" fontId="26" fillId="10" borderId="22" xfId="0" applyNumberFormat="1" applyFont="1" applyFill="1" applyBorder="1"/>
    <xf numFmtId="1" fontId="0" fillId="10" borderId="21" xfId="0" applyNumberFormat="1" applyFill="1" applyBorder="1"/>
    <xf numFmtId="1" fontId="0" fillId="10" borderId="1" xfId="0" applyNumberFormat="1" applyFill="1" applyBorder="1"/>
    <xf numFmtId="2" fontId="26" fillId="11" borderId="24" xfId="0" applyNumberFormat="1" applyFont="1" applyFill="1" applyBorder="1"/>
    <xf numFmtId="2" fontId="26" fillId="11" borderId="30" xfId="0" applyNumberFormat="1" applyFont="1" applyFill="1" applyBorder="1"/>
    <xf numFmtId="2" fontId="0" fillId="11" borderId="23" xfId="0" applyNumberFormat="1" applyFill="1" applyBorder="1"/>
    <xf numFmtId="2" fontId="0" fillId="11" borderId="24" xfId="0" applyNumberFormat="1" applyFill="1" applyBorder="1"/>
    <xf numFmtId="1" fontId="26" fillId="11" borderId="1" xfId="0" applyNumberFormat="1" applyFont="1" applyFill="1" applyBorder="1"/>
    <xf numFmtId="1" fontId="26" fillId="11" borderId="22" xfId="0" applyNumberFormat="1" applyFont="1" applyFill="1" applyBorder="1"/>
    <xf numFmtId="1" fontId="0" fillId="11" borderId="21" xfId="0" applyNumberFormat="1" applyFill="1" applyBorder="1"/>
    <xf numFmtId="1" fontId="0" fillId="11" borderId="1" xfId="0" applyNumberFormat="1" applyFill="1" applyBorder="1"/>
    <xf numFmtId="2" fontId="26" fillId="7" borderId="24" xfId="0" applyNumberFormat="1" applyFont="1" applyFill="1" applyBorder="1"/>
    <xf numFmtId="2" fontId="26" fillId="7" borderId="30" xfId="0" applyNumberFormat="1" applyFont="1" applyFill="1" applyBorder="1"/>
    <xf numFmtId="2" fontId="0" fillId="7" borderId="23" xfId="0" applyNumberFormat="1" applyFill="1" applyBorder="1"/>
    <xf numFmtId="2" fontId="0" fillId="7" borderId="24" xfId="0" applyNumberFormat="1" applyFill="1" applyBorder="1"/>
    <xf numFmtId="1" fontId="26" fillId="7" borderId="1" xfId="0" applyNumberFormat="1" applyFont="1" applyFill="1" applyBorder="1"/>
    <xf numFmtId="1" fontId="26" fillId="7" borderId="22" xfId="0" applyNumberFormat="1" applyFont="1" applyFill="1" applyBorder="1"/>
    <xf numFmtId="2" fontId="26" fillId="9" borderId="24" xfId="0" applyNumberFormat="1" applyFont="1" applyFill="1" applyBorder="1"/>
    <xf numFmtId="2" fontId="26" fillId="9" borderId="30" xfId="0" applyNumberFormat="1" applyFont="1" applyFill="1" applyBorder="1"/>
    <xf numFmtId="2" fontId="0" fillId="9" borderId="23" xfId="0" applyNumberFormat="1" applyFill="1" applyBorder="1"/>
    <xf numFmtId="2" fontId="0" fillId="9" borderId="24" xfId="0" applyNumberFormat="1" applyFill="1" applyBorder="1"/>
    <xf numFmtId="1" fontId="26" fillId="9" borderId="1" xfId="0" applyNumberFormat="1" applyFont="1" applyFill="1" applyBorder="1"/>
    <xf numFmtId="1" fontId="26" fillId="9" borderId="22" xfId="0" applyNumberFormat="1" applyFont="1" applyFill="1" applyBorder="1"/>
    <xf numFmtId="1" fontId="0" fillId="9" borderId="21" xfId="0" applyNumberFormat="1" applyFill="1" applyBorder="1"/>
    <xf numFmtId="1" fontId="0" fillId="9" borderId="1" xfId="0" applyNumberFormat="1" applyFill="1" applyBorder="1"/>
    <xf numFmtId="2" fontId="26" fillId="12" borderId="24" xfId="0" applyNumberFormat="1" applyFont="1" applyFill="1" applyBorder="1"/>
    <xf numFmtId="2" fontId="26" fillId="12" borderId="30" xfId="0" applyNumberFormat="1" applyFont="1" applyFill="1" applyBorder="1"/>
    <xf numFmtId="2" fontId="0" fillId="12" borderId="23" xfId="0" applyNumberFormat="1" applyFill="1" applyBorder="1"/>
    <xf numFmtId="2" fontId="0" fillId="12" borderId="24" xfId="0" applyNumberFormat="1" applyFill="1" applyBorder="1"/>
    <xf numFmtId="1" fontId="26" fillId="12" borderId="1" xfId="0" applyNumberFormat="1" applyFont="1" applyFill="1" applyBorder="1"/>
    <xf numFmtId="1" fontId="26" fillId="12" borderId="22" xfId="0" applyNumberFormat="1" applyFont="1" applyFill="1" applyBorder="1"/>
    <xf numFmtId="1" fontId="0" fillId="12" borderId="21" xfId="0" applyNumberFormat="1" applyFill="1" applyBorder="1"/>
    <xf numFmtId="1" fontId="0" fillId="12" borderId="1" xfId="0" applyNumberFormat="1" applyFill="1" applyBorder="1"/>
    <xf numFmtId="2" fontId="26" fillId="13" borderId="7" xfId="0" applyNumberFormat="1" applyFont="1" applyFill="1" applyBorder="1"/>
    <xf numFmtId="2" fontId="26" fillId="13" borderId="17" xfId="0" applyNumberFormat="1" applyFont="1" applyFill="1" applyBorder="1"/>
    <xf numFmtId="2" fontId="0" fillId="13" borderId="16" xfId="0" applyNumberFormat="1" applyFill="1" applyBorder="1"/>
    <xf numFmtId="2" fontId="0" fillId="13" borderId="7" xfId="0" applyNumberFormat="1" applyFill="1" applyBorder="1"/>
    <xf numFmtId="1" fontId="26" fillId="13" borderId="1" xfId="0" applyNumberFormat="1" applyFont="1" applyFill="1" applyBorder="1"/>
    <xf numFmtId="1" fontId="26" fillId="13" borderId="22" xfId="0" applyNumberFormat="1" applyFont="1" applyFill="1" applyBorder="1"/>
    <xf numFmtId="1" fontId="0" fillId="13" borderId="21" xfId="0" applyNumberFormat="1" applyFill="1" applyBorder="1"/>
    <xf numFmtId="1" fontId="0" fillId="13" borderId="1" xfId="0" applyNumberFormat="1" applyFill="1" applyBorder="1"/>
    <xf numFmtId="1" fontId="27" fillId="2" borderId="1" xfId="0" applyNumberFormat="1" applyFont="1" applyFill="1" applyBorder="1"/>
    <xf numFmtId="1" fontId="27" fillId="2" borderId="22" xfId="0" applyNumberFormat="1" applyFont="1" applyFill="1" applyBorder="1"/>
    <xf numFmtId="1" fontId="23" fillId="2" borderId="21" xfId="0" applyNumberFormat="1" applyFont="1" applyFill="1" applyBorder="1"/>
    <xf numFmtId="1" fontId="23" fillId="2" borderId="1" xfId="0" applyNumberFormat="1" applyFont="1" applyFill="1" applyBorder="1"/>
    <xf numFmtId="9" fontId="27" fillId="2" borderId="1" xfId="1" applyFont="1" applyFill="1" applyBorder="1"/>
    <xf numFmtId="9" fontId="27" fillId="2" borderId="22" xfId="1" applyFont="1" applyFill="1" applyBorder="1"/>
    <xf numFmtId="9" fontId="23" fillId="2" borderId="21" xfId="1" applyFont="1" applyFill="1" applyBorder="1"/>
    <xf numFmtId="9" fontId="23" fillId="2" borderId="1" xfId="1" applyFont="1" applyFill="1" applyBorder="1"/>
    <xf numFmtId="1" fontId="27" fillId="2" borderId="32" xfId="0" applyNumberFormat="1" applyFont="1" applyFill="1" applyBorder="1"/>
    <xf numFmtId="1" fontId="27" fillId="2" borderId="33" xfId="0" applyNumberFormat="1" applyFont="1" applyFill="1" applyBorder="1"/>
    <xf numFmtId="1" fontId="23" fillId="2" borderId="31" xfId="0" applyNumberFormat="1" applyFont="1" applyFill="1" applyBorder="1"/>
    <xf numFmtId="1" fontId="23" fillId="2" borderId="32" xfId="0" applyNumberFormat="1" applyFont="1" applyFill="1" applyBorder="1"/>
    <xf numFmtId="2" fontId="27" fillId="2" borderId="8" xfId="0" applyNumberFormat="1" applyFont="1" applyFill="1" applyBorder="1"/>
    <xf numFmtId="2" fontId="27" fillId="2" borderId="19" xfId="0" applyNumberFormat="1" applyFont="1" applyFill="1" applyBorder="1"/>
    <xf numFmtId="2" fontId="23" fillId="2" borderId="18" xfId="0" applyNumberFormat="1" applyFont="1" applyFill="1" applyBorder="1"/>
    <xf numFmtId="2" fontId="23" fillId="2" borderId="8" xfId="0" applyNumberFormat="1" applyFont="1" applyFill="1" applyBorder="1"/>
    <xf numFmtId="2" fontId="27" fillId="2" borderId="27" xfId="0" applyNumberFormat="1" applyFont="1" applyFill="1" applyBorder="1"/>
    <xf numFmtId="2" fontId="27" fillId="2" borderId="28" xfId="0" applyNumberFormat="1" applyFont="1" applyFill="1" applyBorder="1"/>
    <xf numFmtId="2" fontId="23" fillId="2" borderId="26" xfId="0" applyNumberFormat="1" applyFont="1" applyFill="1" applyBorder="1"/>
    <xf numFmtId="2" fontId="23" fillId="2" borderId="27" xfId="0" applyNumberFormat="1" applyFont="1" applyFill="1" applyBorder="1"/>
    <xf numFmtId="1" fontId="26" fillId="0" borderId="0" xfId="0" applyNumberFormat="1" applyFont="1"/>
    <xf numFmtId="0" fontId="25" fillId="8" borderId="3" xfId="0" applyFont="1" applyFill="1" applyBorder="1"/>
    <xf numFmtId="2" fontId="25" fillId="8" borderId="21" xfId="0" applyNumberFormat="1" applyFont="1" applyFill="1" applyBorder="1"/>
    <xf numFmtId="2" fontId="25" fillId="8" borderId="1" xfId="0" applyNumberFormat="1" applyFont="1" applyFill="1" applyBorder="1"/>
    <xf numFmtId="2" fontId="25" fillId="8" borderId="22" xfId="0" applyNumberFormat="1" applyFont="1" applyFill="1" applyBorder="1"/>
    <xf numFmtId="2" fontId="25" fillId="8" borderId="5" xfId="0" applyNumberFormat="1" applyFont="1" applyFill="1" applyBorder="1"/>
    <xf numFmtId="2" fontId="25" fillId="8" borderId="3" xfId="0" applyNumberFormat="1" applyFont="1" applyFill="1" applyBorder="1"/>
    <xf numFmtId="2" fontId="28" fillId="8" borderId="1" xfId="0" applyNumberFormat="1" applyFont="1" applyFill="1" applyBorder="1"/>
    <xf numFmtId="2" fontId="28" fillId="8" borderId="22" xfId="0" applyNumberFormat="1" applyFont="1" applyFill="1" applyBorder="1"/>
    <xf numFmtId="0" fontId="13" fillId="8" borderId="35" xfId="0" applyFont="1" applyFill="1" applyBorder="1"/>
    <xf numFmtId="2" fontId="13" fillId="8" borderId="36" xfId="0" applyNumberFormat="1" applyFont="1" applyFill="1" applyBorder="1"/>
    <xf numFmtId="2" fontId="13" fillId="8" borderId="37" xfId="0" applyNumberFormat="1" applyFont="1" applyFill="1" applyBorder="1"/>
    <xf numFmtId="2" fontId="13" fillId="8" borderId="38" xfId="0" applyNumberFormat="1" applyFont="1" applyFill="1" applyBorder="1"/>
    <xf numFmtId="2" fontId="13" fillId="8" borderId="39" xfId="0" applyNumberFormat="1" applyFont="1" applyFill="1" applyBorder="1"/>
    <xf numFmtId="2" fontId="13" fillId="8" borderId="35" xfId="0" applyNumberFormat="1" applyFont="1" applyFill="1" applyBorder="1"/>
    <xf numFmtId="2" fontId="29" fillId="8" borderId="37" xfId="0" applyNumberFormat="1" applyFont="1" applyFill="1" applyBorder="1"/>
    <xf numFmtId="2" fontId="29" fillId="8" borderId="38" xfId="0" applyNumberFormat="1" applyFont="1" applyFill="1" applyBorder="1"/>
    <xf numFmtId="2" fontId="0" fillId="0" borderId="36" xfId="0" applyNumberFormat="1" applyFill="1" applyBorder="1"/>
    <xf numFmtId="2" fontId="0" fillId="0" borderId="37" xfId="0" applyNumberFormat="1" applyFill="1" applyBorder="1"/>
    <xf numFmtId="2" fontId="26" fillId="0" borderId="37" xfId="0" applyNumberFormat="1" applyFont="1" applyBorder="1"/>
    <xf numFmtId="2" fontId="26" fillId="0" borderId="38" xfId="0" applyNumberFormat="1" applyFont="1" applyBorder="1"/>
    <xf numFmtId="0" fontId="0" fillId="0" borderId="35" xfId="0" applyBorder="1" applyAlignment="1">
      <alignment wrapText="1"/>
    </xf>
    <xf numFmtId="1" fontId="0" fillId="0" borderId="36" xfId="0" applyNumberFormat="1" applyFill="1" applyBorder="1"/>
    <xf numFmtId="1" fontId="0" fillId="0" borderId="37" xfId="0" applyNumberFormat="1" applyFill="1" applyBorder="1"/>
    <xf numFmtId="1" fontId="0" fillId="0" borderId="38" xfId="0" applyNumberFormat="1" applyFill="1" applyBorder="1"/>
    <xf numFmtId="1" fontId="0" fillId="0" borderId="39" xfId="0" applyNumberFormat="1" applyFill="1" applyBorder="1"/>
    <xf numFmtId="1" fontId="0" fillId="0" borderId="35" xfId="0" applyNumberFormat="1" applyFill="1" applyBorder="1"/>
    <xf numFmtId="1" fontId="0" fillId="0" borderId="5" xfId="0" applyNumberFormat="1" applyFill="1" applyBorder="1"/>
    <xf numFmtId="1" fontId="0" fillId="0" borderId="1" xfId="0" applyNumberFormat="1" applyFill="1" applyBorder="1"/>
    <xf numFmtId="1" fontId="0" fillId="0" borderId="3" xfId="0" applyNumberFormat="1" applyFill="1" applyBorder="1"/>
    <xf numFmtId="1" fontId="0" fillId="0" borderId="21" xfId="0" applyNumberFormat="1" applyFill="1" applyBorder="1"/>
    <xf numFmtId="1" fontId="0" fillId="0" borderId="22" xfId="0" applyNumberFormat="1" applyFill="1" applyBorder="1"/>
    <xf numFmtId="2" fontId="0" fillId="0" borderId="21" xfId="0" applyNumberFormat="1" applyFill="1" applyBorder="1"/>
    <xf numFmtId="2" fontId="0" fillId="0" borderId="1" xfId="0" applyNumberFormat="1" applyFill="1" applyBorder="1"/>
    <xf numFmtId="2" fontId="26" fillId="0" borderId="1" xfId="0" applyNumberFormat="1" applyFont="1" applyBorder="1"/>
    <xf numFmtId="2" fontId="26" fillId="0" borderId="22" xfId="0" applyNumberFormat="1" applyFont="1" applyBorder="1"/>
    <xf numFmtId="166" fontId="0" fillId="0" borderId="0" xfId="0" applyNumberFormat="1"/>
    <xf numFmtId="1" fontId="31" fillId="0" borderId="0" xfId="0" applyNumberFormat="1" applyFont="1"/>
    <xf numFmtId="0" fontId="31" fillId="0" borderId="0" xfId="0" applyFont="1"/>
    <xf numFmtId="1" fontId="31" fillId="0" borderId="3" xfId="0" applyNumberFormat="1" applyFont="1" applyFill="1" applyBorder="1"/>
    <xf numFmtId="1" fontId="31" fillId="0" borderId="35" xfId="0" applyNumberFormat="1" applyFont="1" applyFill="1" applyBorder="1"/>
    <xf numFmtId="0" fontId="32" fillId="0" borderId="0" xfId="0" applyFont="1"/>
    <xf numFmtId="1" fontId="26" fillId="0" borderId="37" xfId="0" applyNumberFormat="1" applyFont="1" applyBorder="1"/>
    <xf numFmtId="1" fontId="26" fillId="0" borderId="38" xfId="0" applyNumberFormat="1" applyFont="1" applyBorder="1"/>
    <xf numFmtId="2" fontId="26" fillId="14" borderId="32" xfId="0" applyNumberFormat="1" applyFont="1" applyFill="1" applyBorder="1"/>
    <xf numFmtId="2" fontId="26" fillId="14" borderId="33" xfId="0" applyNumberFormat="1" applyFont="1" applyFill="1" applyBorder="1"/>
    <xf numFmtId="2" fontId="0" fillId="14" borderId="31" xfId="0" applyNumberFormat="1" applyFill="1" applyBorder="1"/>
    <xf numFmtId="2" fontId="0" fillId="14" borderId="32" xfId="0" applyNumberFormat="1" applyFill="1" applyBorder="1"/>
    <xf numFmtId="1" fontId="26" fillId="14" borderId="32" xfId="0" applyNumberFormat="1" applyFont="1" applyFill="1" applyBorder="1"/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right" vertical="center" wrapText="1"/>
    </xf>
    <xf numFmtId="2" fontId="33" fillId="0" borderId="0" xfId="0" applyNumberFormat="1" applyFont="1"/>
    <xf numFmtId="0" fontId="30" fillId="0" borderId="0" xfId="0" applyFont="1" applyBorder="1" applyAlignment="1">
      <alignment horizontal="right" vertical="center" wrapText="1"/>
    </xf>
    <xf numFmtId="0" fontId="2" fillId="0" borderId="0" xfId="0" applyFont="1"/>
    <xf numFmtId="0" fontId="34" fillId="0" borderId="0" xfId="0" applyFont="1"/>
    <xf numFmtId="165" fontId="34" fillId="0" borderId="0" xfId="0" applyNumberFormat="1" applyFont="1"/>
    <xf numFmtId="3" fontId="2" fillId="0" borderId="0" xfId="0" applyNumberFormat="1" applyFont="1"/>
    <xf numFmtId="3" fontId="35" fillId="0" borderId="0" xfId="0" applyNumberFormat="1" applyFont="1"/>
    <xf numFmtId="3" fontId="0" fillId="0" borderId="0" xfId="0" applyNumberFormat="1"/>
    <xf numFmtId="3" fontId="36" fillId="0" borderId="0" xfId="0" applyNumberFormat="1" applyFont="1"/>
    <xf numFmtId="3" fontId="0" fillId="0" borderId="0" xfId="0" applyNumberFormat="1" applyFont="1"/>
    <xf numFmtId="0" fontId="0" fillId="15" borderId="0" xfId="0" applyFill="1"/>
    <xf numFmtId="3" fontId="0" fillId="15" borderId="0" xfId="0" applyNumberFormat="1" applyFill="1"/>
    <xf numFmtId="0" fontId="14" fillId="15" borderId="0" xfId="0" applyFont="1" applyFill="1"/>
    <xf numFmtId="0" fontId="14" fillId="15" borderId="20" xfId="0" applyFont="1" applyFill="1" applyBorder="1"/>
    <xf numFmtId="3" fontId="14" fillId="15" borderId="40" xfId="0" applyNumberFormat="1" applyFont="1" applyFill="1" applyBorder="1"/>
    <xf numFmtId="3" fontId="14" fillId="15" borderId="41" xfId="0" applyNumberFormat="1" applyFont="1" applyFill="1" applyBorder="1"/>
    <xf numFmtId="3" fontId="0" fillId="16" borderId="0" xfId="0" applyNumberFormat="1" applyFill="1"/>
    <xf numFmtId="2" fontId="37" fillId="7" borderId="24" xfId="0" applyNumberFormat="1" applyFont="1" applyFill="1" applyBorder="1"/>
    <xf numFmtId="2" fontId="37" fillId="7" borderId="30" xfId="0" applyNumberFormat="1" applyFont="1" applyFill="1" applyBorder="1"/>
    <xf numFmtId="2" fontId="37" fillId="10" borderId="1" xfId="0" applyNumberFormat="1" applyFont="1" applyFill="1" applyBorder="1"/>
    <xf numFmtId="2" fontId="37" fillId="10" borderId="22" xfId="0" applyNumberFormat="1" applyFont="1" applyFill="1" applyBorder="1"/>
    <xf numFmtId="2" fontId="38" fillId="11" borderId="24" xfId="0" applyNumberFormat="1" applyFont="1" applyFill="1" applyBorder="1"/>
    <xf numFmtId="2" fontId="38" fillId="11" borderId="30" xfId="0" applyNumberFormat="1" applyFont="1" applyFill="1" applyBorder="1"/>
    <xf numFmtId="2" fontId="37" fillId="9" borderId="24" xfId="0" applyNumberFormat="1" applyFont="1" applyFill="1" applyBorder="1"/>
    <xf numFmtId="2" fontId="37" fillId="9" borderId="30" xfId="0" applyNumberFormat="1" applyFont="1" applyFill="1" applyBorder="1"/>
    <xf numFmtId="2" fontId="39" fillId="12" borderId="24" xfId="0" applyNumberFormat="1" applyFont="1" applyFill="1" applyBorder="1"/>
    <xf numFmtId="2" fontId="39" fillId="12" borderId="30" xfId="0" applyNumberFormat="1" applyFont="1" applyFill="1" applyBorder="1"/>
    <xf numFmtId="9" fontId="0" fillId="0" borderId="0" xfId="0" applyNumberFormat="1"/>
    <xf numFmtId="1" fontId="26" fillId="13" borderId="21" xfId="0" applyNumberFormat="1" applyFont="1" applyFill="1" applyBorder="1"/>
    <xf numFmtId="2" fontId="37" fillId="13" borderId="17" xfId="0" applyNumberFormat="1" applyFont="1" applyFill="1" applyBorder="1"/>
    <xf numFmtId="9" fontId="14" fillId="0" borderId="0" xfId="1" applyFont="1"/>
    <xf numFmtId="2" fontId="26" fillId="10" borderId="21" xfId="0" applyNumberFormat="1" applyFont="1" applyFill="1" applyBorder="1"/>
    <xf numFmtId="1" fontId="26" fillId="10" borderId="21" xfId="0" applyNumberFormat="1" applyFont="1" applyFill="1" applyBorder="1"/>
    <xf numFmtId="2" fontId="26" fillId="11" borderId="23" xfId="0" applyNumberFormat="1" applyFont="1" applyFill="1" applyBorder="1"/>
    <xf numFmtId="2" fontId="40" fillId="13" borderId="17" xfId="0" applyNumberFormat="1" applyFont="1" applyFill="1" applyBorder="1"/>
    <xf numFmtId="2" fontId="26" fillId="7" borderId="23" xfId="0" applyNumberFormat="1" applyFont="1" applyFill="1" applyBorder="1"/>
    <xf numFmtId="1" fontId="26" fillId="7" borderId="21" xfId="0" applyNumberFormat="1" applyFont="1" applyFill="1" applyBorder="1"/>
    <xf numFmtId="1" fontId="26" fillId="11" borderId="21" xfId="0" applyNumberFormat="1" applyFont="1" applyFill="1" applyBorder="1"/>
    <xf numFmtId="2" fontId="26" fillId="9" borderId="23" xfId="0" applyNumberFormat="1" applyFont="1" applyFill="1" applyBorder="1"/>
    <xf numFmtId="1" fontId="26" fillId="9" borderId="21" xfId="0" applyNumberFormat="1" applyFont="1" applyFill="1" applyBorder="1"/>
    <xf numFmtId="2" fontId="26" fillId="12" borderId="23" xfId="0" applyNumberFormat="1" applyFont="1" applyFill="1" applyBorder="1"/>
    <xf numFmtId="1" fontId="26" fillId="12" borderId="21" xfId="0" applyNumberFormat="1" applyFont="1" applyFill="1" applyBorder="1"/>
    <xf numFmtId="1" fontId="41" fillId="0" borderId="0" xfId="0" applyNumberFormat="1" applyFont="1"/>
    <xf numFmtId="3" fontId="42" fillId="0" borderId="0" xfId="0" applyNumberFormat="1" applyFont="1"/>
    <xf numFmtId="3" fontId="2" fillId="15" borderId="0" xfId="0" applyNumberFormat="1" applyFont="1" applyFill="1"/>
    <xf numFmtId="3" fontId="14" fillId="15" borderId="0" xfId="0" applyNumberFormat="1" applyFont="1" applyFill="1"/>
    <xf numFmtId="164" fontId="1" fillId="15" borderId="0" xfId="1" applyNumberFormat="1" applyFont="1" applyFill="1"/>
    <xf numFmtId="2" fontId="26" fillId="8" borderId="31" xfId="0" applyNumberFormat="1" applyFont="1" applyFill="1" applyBorder="1"/>
    <xf numFmtId="3" fontId="0" fillId="17" borderId="0" xfId="0" applyNumberFormat="1" applyFill="1"/>
    <xf numFmtId="0" fontId="0" fillId="17" borderId="0" xfId="0" applyFill="1"/>
    <xf numFmtId="3" fontId="42" fillId="15" borderId="0" xfId="0" applyNumberFormat="1" applyFont="1" applyFill="1"/>
    <xf numFmtId="3" fontId="0" fillId="18" borderId="0" xfId="0" applyNumberFormat="1" applyFill="1"/>
    <xf numFmtId="9" fontId="14" fillId="0" borderId="0" xfId="0" applyNumberFormat="1" applyFont="1"/>
    <xf numFmtId="3" fontId="14" fillId="0" borderId="0" xfId="0" applyNumberFormat="1" applyFont="1"/>
    <xf numFmtId="0" fontId="43" fillId="0" borderId="0" xfId="0" applyFont="1"/>
    <xf numFmtId="2" fontId="0" fillId="18" borderId="0" xfId="0" applyNumberFormat="1" applyFill="1"/>
    <xf numFmtId="0" fontId="44" fillId="0" borderId="0" xfId="0" applyFont="1"/>
    <xf numFmtId="9" fontId="45" fillId="2" borderId="21" xfId="1" applyFont="1" applyFill="1" applyBorder="1"/>
    <xf numFmtId="9" fontId="45" fillId="2" borderId="1" xfId="1" applyFont="1" applyFill="1" applyBorder="1"/>
    <xf numFmtId="9" fontId="46" fillId="2" borderId="1" xfId="1" applyFont="1" applyFill="1" applyBorder="1"/>
    <xf numFmtId="9" fontId="46" fillId="2" borderId="22" xfId="1" applyFont="1" applyFill="1" applyBorder="1"/>
    <xf numFmtId="2" fontId="47" fillId="0" borderId="21" xfId="0" applyNumberFormat="1" applyFont="1" applyFill="1" applyBorder="1"/>
    <xf numFmtId="2" fontId="47" fillId="0" borderId="1" xfId="0" applyNumberFormat="1" applyFont="1" applyFill="1" applyBorder="1"/>
    <xf numFmtId="2" fontId="47" fillId="0" borderId="22" xfId="0" applyNumberFormat="1" applyFont="1" applyFill="1" applyBorder="1"/>
    <xf numFmtId="9" fontId="45" fillId="0" borderId="21" xfId="1" applyFont="1" applyFill="1" applyBorder="1"/>
    <xf numFmtId="9" fontId="45" fillId="0" borderId="1" xfId="1" applyFont="1" applyFill="1" applyBorder="1"/>
    <xf numFmtId="9" fontId="46" fillId="0" borderId="1" xfId="1" applyFont="1" applyFill="1" applyBorder="1"/>
    <xf numFmtId="9" fontId="46" fillId="0" borderId="22" xfId="1" applyFont="1" applyFill="1" applyBorder="1"/>
    <xf numFmtId="1" fontId="45" fillId="0" borderId="31" xfId="0" applyNumberFormat="1" applyFont="1" applyFill="1" applyBorder="1"/>
    <xf numFmtId="1" fontId="45" fillId="0" borderId="32" xfId="0" applyNumberFormat="1" applyFont="1" applyFill="1" applyBorder="1"/>
    <xf numFmtId="1" fontId="46" fillId="0" borderId="32" xfId="0" applyNumberFormat="1" applyFont="1" applyFill="1" applyBorder="1"/>
    <xf numFmtId="1" fontId="46" fillId="0" borderId="33" xfId="0" applyNumberFormat="1" applyFont="1" applyFill="1" applyBorder="1"/>
    <xf numFmtId="1" fontId="45" fillId="0" borderId="21" xfId="0" applyNumberFormat="1" applyFont="1" applyFill="1" applyBorder="1"/>
    <xf numFmtId="1" fontId="45" fillId="0" borderId="1" xfId="0" applyNumberFormat="1" applyFont="1" applyFill="1" applyBorder="1"/>
    <xf numFmtId="1" fontId="46" fillId="0" borderId="1" xfId="0" applyNumberFormat="1" applyFont="1" applyFill="1" applyBorder="1"/>
    <xf numFmtId="1" fontId="46" fillId="0" borderId="22" xfId="0" applyNumberFormat="1" applyFont="1" applyFill="1" applyBorder="1"/>
    <xf numFmtId="2" fontId="47" fillId="0" borderId="23" xfId="0" applyNumberFormat="1" applyFont="1" applyFill="1" applyBorder="1"/>
    <xf numFmtId="2" fontId="47" fillId="0" borderId="24" xfId="0" applyNumberFormat="1" applyFont="1" applyFill="1" applyBorder="1"/>
    <xf numFmtId="2" fontId="47" fillId="0" borderId="30" xfId="0" applyNumberFormat="1" applyFont="1" applyFill="1" applyBorder="1"/>
    <xf numFmtId="0" fontId="48" fillId="0" borderId="0" xfId="0" applyFont="1"/>
    <xf numFmtId="3" fontId="48" fillId="0" borderId="0" xfId="0" applyNumberFormat="1" applyFont="1"/>
    <xf numFmtId="1" fontId="48" fillId="0" borderId="0" xfId="0" applyNumberFormat="1" applyFont="1"/>
    <xf numFmtId="9" fontId="1" fillId="18" borderId="0" xfId="1" applyFont="1" applyFill="1"/>
    <xf numFmtId="2" fontId="47" fillId="0" borderId="17" xfId="0" applyNumberFormat="1" applyFont="1" applyFill="1" applyBorder="1"/>
    <xf numFmtId="1" fontId="49" fillId="0" borderId="0" xfId="0" applyNumberFormat="1" applyFont="1"/>
    <xf numFmtId="3" fontId="49" fillId="0" borderId="0" xfId="0" applyNumberFormat="1" applyFont="1"/>
    <xf numFmtId="165" fontId="0" fillId="0" borderId="4" xfId="0" applyNumberFormat="1" applyBorder="1"/>
    <xf numFmtId="165" fontId="0" fillId="18" borderId="4" xfId="0" applyNumberFormat="1" applyFill="1" applyBorder="1"/>
    <xf numFmtId="165" fontId="0" fillId="18" borderId="5" xfId="0" applyNumberFormat="1" applyFill="1" applyBorder="1"/>
    <xf numFmtId="4" fontId="0" fillId="0" borderId="0" xfId="0" applyNumberFormat="1"/>
    <xf numFmtId="4" fontId="0" fillId="18" borderId="0" xfId="0" applyNumberFormat="1" applyFill="1"/>
    <xf numFmtId="0" fontId="11" fillId="0" borderId="42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0" fillId="0" borderId="50" xfId="0" applyBorder="1"/>
    <xf numFmtId="0" fontId="0" fillId="0" borderId="53" xfId="0" applyBorder="1"/>
    <xf numFmtId="3" fontId="0" fillId="0" borderId="0" xfId="0" applyNumberFormat="1" applyBorder="1"/>
    <xf numFmtId="3" fontId="0" fillId="0" borderId="54" xfId="0" applyNumberFormat="1" applyBorder="1"/>
    <xf numFmtId="4" fontId="0" fillId="0" borderId="0" xfId="0" applyNumberFormat="1" applyBorder="1"/>
    <xf numFmtId="4" fontId="0" fillId="0" borderId="54" xfId="0" applyNumberFormat="1" applyBorder="1"/>
    <xf numFmtId="9" fontId="0" fillId="0" borderId="0" xfId="0" applyNumberFormat="1" applyBorder="1"/>
    <xf numFmtId="9" fontId="0" fillId="0" borderId="54" xfId="0" applyNumberFormat="1" applyBorder="1"/>
    <xf numFmtId="0" fontId="0" fillId="0" borderId="55" xfId="0" applyBorder="1"/>
    <xf numFmtId="2" fontId="0" fillId="0" borderId="56" xfId="0" applyNumberFormat="1" applyBorder="1"/>
    <xf numFmtId="4" fontId="0" fillId="0" borderId="56" xfId="0" applyNumberFormat="1" applyBorder="1"/>
    <xf numFmtId="2" fontId="0" fillId="0" borderId="57" xfId="0" applyNumberFormat="1" applyBorder="1"/>
    <xf numFmtId="0" fontId="0" fillId="0" borderId="20" xfId="0" applyBorder="1"/>
    <xf numFmtId="0" fontId="43" fillId="0" borderId="40" xfId="0" applyFont="1" applyBorder="1"/>
    <xf numFmtId="0" fontId="44" fillId="0" borderId="40" xfId="0" applyFont="1" applyBorder="1"/>
    <xf numFmtId="0" fontId="44" fillId="0" borderId="41" xfId="0" applyFont="1" applyBorder="1"/>
    <xf numFmtId="4" fontId="0" fillId="0" borderId="51" xfId="0" applyNumberFormat="1" applyBorder="1"/>
    <xf numFmtId="4" fontId="0" fillId="0" borderId="52" xfId="0" applyNumberFormat="1" applyBorder="1"/>
    <xf numFmtId="4" fontId="0" fillId="0" borderId="57" xfId="0" applyNumberFormat="1" applyBorder="1"/>
    <xf numFmtId="165" fontId="14" fillId="0" borderId="51" xfId="0" applyNumberFormat="1" applyFont="1" applyBorder="1"/>
    <xf numFmtId="165" fontId="14" fillId="0" borderId="52" xfId="0" applyNumberFormat="1" applyFont="1" applyBorder="1"/>
    <xf numFmtId="167" fontId="0" fillId="0" borderId="0" xfId="0" applyNumberFormat="1"/>
  </cellXfs>
  <cellStyles count="2">
    <cellStyle name="Normal" xfId="0" builtinId="0"/>
    <cellStyle name="Percent" xfId="1" builtinId="5"/>
  </cellStyles>
  <dxfs count="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000" b="1" i="0">
                <a:solidFill>
                  <a:srgbClr val="002060"/>
                </a:solidFill>
              </a:rPr>
              <a:t>Segment's</a:t>
            </a:r>
            <a:r>
              <a:rPr lang="en-US" sz="2000" b="1" i="0" baseline="0">
                <a:solidFill>
                  <a:srgbClr val="002060"/>
                </a:solidFill>
              </a:rPr>
              <a:t> contribution to EBITDA amid Ukraine's average crop yields</a:t>
            </a:r>
            <a:endParaRPr lang="en-US" sz="2000" b="1" i="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1512860892388452"/>
          <c:y val="3.3506083187322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502875778967E-2"/>
          <c:y val="4.5139041948248797E-2"/>
          <c:w val="0.86250175476431223"/>
          <c:h val="0.92361424294109074"/>
        </c:manualLayout>
      </c:layout>
      <c:lineChart>
        <c:grouping val="standard"/>
        <c:varyColors val="0"/>
        <c:ser>
          <c:idx val="0"/>
          <c:order val="0"/>
          <c:tx>
            <c:v>Sunflower oil EBITDA, lhs</c:v>
          </c:tx>
          <c:spPr>
            <a:ln w="38100">
              <a:solidFill>
                <a:srgbClr val="92D05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key!$D$5:$L$5</c:f>
              <c:numCache>
                <c:formatCode>General</c:formatCode>
                <c:ptCount val="9"/>
                <c:pt idx="0">
                  <c:v>81.099999999999994</c:v>
                </c:pt>
                <c:pt idx="1">
                  <c:v>89.4</c:v>
                </c:pt>
                <c:pt idx="2">
                  <c:v>101.2</c:v>
                </c:pt>
                <c:pt idx="3">
                  <c:v>202.3</c:v>
                </c:pt>
                <c:pt idx="4">
                  <c:v>198.5</c:v>
                </c:pt>
                <c:pt idx="5">
                  <c:v>199.3</c:v>
                </c:pt>
                <c:pt idx="6">
                  <c:v>177.8</c:v>
                </c:pt>
                <c:pt idx="7">
                  <c:v>213.1</c:v>
                </c:pt>
                <c:pt idx="8">
                  <c:v>128.80000000000001</c:v>
                </c:pt>
              </c:numCache>
            </c:numRef>
          </c:val>
          <c:smooth val="0"/>
        </c:ser>
        <c:ser>
          <c:idx val="1"/>
          <c:order val="1"/>
          <c:tx>
            <c:v>Grain and infrastructure EBITDA, lhs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key!$D$6:$L$6</c:f>
              <c:numCache>
                <c:formatCode>General</c:formatCode>
                <c:ptCount val="9"/>
                <c:pt idx="0">
                  <c:v>39.9</c:v>
                </c:pt>
                <c:pt idx="1">
                  <c:v>111.6</c:v>
                </c:pt>
                <c:pt idx="2">
                  <c:v>79.8</c:v>
                </c:pt>
                <c:pt idx="3">
                  <c:v>93.6</c:v>
                </c:pt>
                <c:pt idx="4">
                  <c:v>59</c:v>
                </c:pt>
                <c:pt idx="5">
                  <c:v>59</c:v>
                </c:pt>
                <c:pt idx="6">
                  <c:v>125.8</c:v>
                </c:pt>
                <c:pt idx="7">
                  <c:v>114.5</c:v>
                </c:pt>
                <c:pt idx="8">
                  <c:v>107.1</c:v>
                </c:pt>
              </c:numCache>
            </c:numRef>
          </c:val>
          <c:smooth val="0"/>
        </c:ser>
        <c:ser>
          <c:idx val="2"/>
          <c:order val="2"/>
          <c:tx>
            <c:v>Farming EBITDA, lhs</c:v>
          </c:tx>
          <c:spPr>
            <a:ln w="38100">
              <a:solidFill>
                <a:srgbClr val="00330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key!$D$7:$L$7</c:f>
              <c:numCache>
                <c:formatCode>General</c:formatCode>
                <c:ptCount val="9"/>
                <c:pt idx="0">
                  <c:v>19.899999999999999</c:v>
                </c:pt>
                <c:pt idx="1">
                  <c:v>6.9</c:v>
                </c:pt>
                <c:pt idx="2">
                  <c:v>23.1</c:v>
                </c:pt>
                <c:pt idx="3">
                  <c:v>31.5</c:v>
                </c:pt>
                <c:pt idx="4">
                  <c:v>73.8</c:v>
                </c:pt>
                <c:pt idx="5">
                  <c:v>67.3</c:v>
                </c:pt>
                <c:pt idx="6">
                  <c:v>-44.3</c:v>
                </c:pt>
                <c:pt idx="7">
                  <c:v>97.9</c:v>
                </c:pt>
                <c:pt idx="8">
                  <c:v>145.9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488680"/>
        <c:axId val="373489464"/>
      </c:lineChart>
      <c:lineChart>
        <c:grouping val="standard"/>
        <c:varyColors val="0"/>
        <c:ser>
          <c:idx val="4"/>
          <c:order val="3"/>
          <c:tx>
            <c:v>UA average grain yields, rhs</c:v>
          </c:tx>
          <c:spPr>
            <a:ln w="63500">
              <a:solidFill>
                <a:srgbClr val="7030A0">
                  <a:alpha val="5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'UA farming'!$AH$20:$AH$28</c:f>
              <c:numCache>
                <c:formatCode>General</c:formatCode>
                <c:ptCount val="9"/>
                <c:pt idx="0">
                  <c:v>2.1800000000000002</c:v>
                </c:pt>
                <c:pt idx="1">
                  <c:v>3.46</c:v>
                </c:pt>
                <c:pt idx="2">
                  <c:v>2.98</c:v>
                </c:pt>
                <c:pt idx="3">
                  <c:v>2.69</c:v>
                </c:pt>
                <c:pt idx="4">
                  <c:v>3.7</c:v>
                </c:pt>
                <c:pt idx="5">
                  <c:v>3.12</c:v>
                </c:pt>
                <c:pt idx="6">
                  <c:v>3.9899999999999998</c:v>
                </c:pt>
                <c:pt idx="7">
                  <c:v>4.37</c:v>
                </c:pt>
                <c:pt idx="8">
                  <c:v>4.1100000000000003</c:v>
                </c:pt>
              </c:numCache>
            </c:numRef>
          </c:val>
          <c:smooth val="0"/>
        </c:ser>
        <c:ser>
          <c:idx val="5"/>
          <c:order val="4"/>
          <c:tx>
            <c:v>UA average sunflower yields, rhs</c:v>
          </c:tx>
          <c:spPr>
            <a:ln w="63500">
              <a:solidFill>
                <a:schemeClr val="accent6">
                  <a:shade val="76000"/>
                  <a:alpha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491032"/>
        <c:axId val="373490640"/>
      </c:lineChart>
      <c:catAx>
        <c:axId val="3734886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373489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4894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Segment's contribution to EBITDA, mio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373488680"/>
        <c:crosses val="autoZero"/>
        <c:crossBetween val="between"/>
      </c:valAx>
      <c:catAx>
        <c:axId val="373491032"/>
        <c:scaling>
          <c:orientation val="minMax"/>
        </c:scaling>
        <c:delete val="1"/>
        <c:axPos val="b"/>
        <c:majorTickMark val="out"/>
        <c:minorTickMark val="none"/>
        <c:tickLblPos val="nextTo"/>
        <c:crossAx val="373490640"/>
        <c:crosses val="autoZero"/>
        <c:auto val="1"/>
        <c:lblAlgn val="ctr"/>
        <c:lblOffset val="100"/>
        <c:noMultiLvlLbl val="0"/>
      </c:catAx>
      <c:valAx>
        <c:axId val="373490640"/>
        <c:scaling>
          <c:orientation val="minMax"/>
          <c:min val="-2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Ukraine's average</a:t>
                </a:r>
                <a:r>
                  <a:rPr lang="en-US" sz="1200" baseline="0"/>
                  <a:t> crop yields, t/ha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91497222222222219"/>
              <c:y val="0.22974534349426159"/>
            </c:manualLayout>
          </c:layout>
          <c:overlay val="0"/>
          <c:spPr>
            <a:ln>
              <a:solidFill>
                <a:schemeClr val="accent6">
                  <a:shade val="76000"/>
                </a:schemeClr>
              </a:solidFill>
              <a:prstDash val="dash"/>
            </a:ln>
          </c:spPr>
        </c:title>
        <c:numFmt formatCode="General" sourceLinked="1"/>
        <c:majorTickMark val="out"/>
        <c:minorTickMark val="none"/>
        <c:tickLblPos val="nextTo"/>
        <c:crossAx val="3734910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3333333333333338E-2"/>
          <c:y val="0.75603533807603795"/>
          <c:w val="0.3816668853893263"/>
          <c:h val="0.94102263691569377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Grains yields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166776869256326E-2"/>
          <c:y val="0.12716780951923987"/>
          <c:w val="0.91666853163356854"/>
          <c:h val="0.78323809953895462"/>
        </c:manualLayout>
      </c:layout>
      <c:lineChart>
        <c:grouping val="standard"/>
        <c:varyColors val="0"/>
        <c:ser>
          <c:idx val="0"/>
          <c:order val="0"/>
          <c:tx>
            <c:v>Kernel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6"/>
            <c:bubble3D val="0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dPt>
            <c:idx val="7"/>
            <c:bubble3D val="0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Farming!$H$12:$O$12</c:f>
              <c:numCache>
                <c:formatCode>General</c:formatCode>
                <c:ptCount val="8"/>
                <c:pt idx="0">
                  <c:v>3.7</c:v>
                </c:pt>
                <c:pt idx="1">
                  <c:v>3.4</c:v>
                </c:pt>
                <c:pt idx="2">
                  <c:v>4.3</c:v>
                </c:pt>
                <c:pt idx="3">
                  <c:v>5.4</c:v>
                </c:pt>
                <c:pt idx="4">
                  <c:v>5.0999999999999996</c:v>
                </c:pt>
                <c:pt idx="5">
                  <c:v>5.8</c:v>
                </c:pt>
                <c:pt idx="6">
                  <c:v>5.5</c:v>
                </c:pt>
                <c:pt idx="7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v>Ukraine's average grains yields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6"/>
            <c:bubble3D val="0"/>
            <c:spPr>
              <a:ln w="28575" cap="rnd">
                <a:solidFill>
                  <a:schemeClr val="accent2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'UA farming'!$AH$24:$AH$30</c:f>
              <c:numCache>
                <c:formatCode>General</c:formatCode>
                <c:ptCount val="7"/>
                <c:pt idx="0">
                  <c:v>3.7</c:v>
                </c:pt>
                <c:pt idx="1">
                  <c:v>3.12</c:v>
                </c:pt>
                <c:pt idx="2">
                  <c:v>3.9899999999999998</c:v>
                </c:pt>
                <c:pt idx="3">
                  <c:v>4.37</c:v>
                </c:pt>
                <c:pt idx="4">
                  <c:v>4.1100000000000003</c:v>
                </c:pt>
                <c:pt idx="5" formatCode="0.00">
                  <c:v>4.623813025210084</c:v>
                </c:pt>
                <c:pt idx="6" formatCode="0.00">
                  <c:v>4.4230298719772403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174576"/>
        <c:axId val="373177712"/>
      </c:lineChart>
      <c:catAx>
        <c:axId val="37317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3177712"/>
        <c:crosses val="autoZero"/>
        <c:auto val="1"/>
        <c:lblAlgn val="ctr"/>
        <c:lblOffset val="100"/>
        <c:noMultiLvlLbl val="0"/>
      </c:catAx>
      <c:valAx>
        <c:axId val="37317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31745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716668853893264"/>
          <c:y val="0.45414017039816329"/>
          <c:w val="0.98000043744531939"/>
          <c:h val="0.66443158531358071"/>
        </c:manualLayout>
      </c:layout>
      <c:overlay val="1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Sunflowerseeds yields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916815016306591E-2"/>
          <c:y val="0.12680115273775217"/>
          <c:w val="0.89583515591462382"/>
          <c:h val="0.78386167146974062"/>
        </c:manualLayout>
      </c:layout>
      <c:lineChart>
        <c:grouping val="standard"/>
        <c:varyColors val="0"/>
        <c:ser>
          <c:idx val="0"/>
          <c:order val="0"/>
          <c:tx>
            <c:v>Kernel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6"/>
            <c:bubble3D val="0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dPt>
            <c:idx val="7"/>
            <c:bubble3D val="0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Farming!$H$13:$O$13</c:f>
              <c:numCache>
                <c:formatCode>General</c:formatCode>
                <c:ptCount val="8"/>
                <c:pt idx="0">
                  <c:v>2.1</c:v>
                </c:pt>
                <c:pt idx="1">
                  <c:v>1.7</c:v>
                </c:pt>
                <c:pt idx="2">
                  <c:v>2.1</c:v>
                </c:pt>
                <c:pt idx="3">
                  <c:v>2.5</c:v>
                </c:pt>
                <c:pt idx="4">
                  <c:v>2.8</c:v>
                </c:pt>
                <c:pt idx="5">
                  <c:v>3</c:v>
                </c:pt>
                <c:pt idx="6">
                  <c:v>3</c:v>
                </c:pt>
                <c:pt idx="7">
                  <c:v>2.6</c:v>
                </c:pt>
              </c:numCache>
            </c:numRef>
          </c:val>
          <c:smooth val="0"/>
        </c:ser>
        <c:ser>
          <c:idx val="1"/>
          <c:order val="1"/>
          <c:tx>
            <c:v>Ukraine's average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6"/>
            <c:bubble3D val="0"/>
            <c:spPr>
              <a:ln w="28575" cap="rnd">
                <a:solidFill>
                  <a:schemeClr val="accent2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'UA farming'!$AQ$24:$AQ$30</c:f>
              <c:numCache>
                <c:formatCode>General</c:formatCode>
                <c:ptCount val="7"/>
                <c:pt idx="0">
                  <c:v>1.8399999999999999</c:v>
                </c:pt>
                <c:pt idx="1">
                  <c:v>1.65</c:v>
                </c:pt>
                <c:pt idx="2">
                  <c:v>2.17</c:v>
                </c:pt>
                <c:pt idx="3">
                  <c:v>1.94</c:v>
                </c:pt>
                <c:pt idx="4">
                  <c:v>2.16</c:v>
                </c:pt>
                <c:pt idx="5">
                  <c:v>2.2200000000000002</c:v>
                </c:pt>
                <c:pt idx="6">
                  <c:v>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762936"/>
        <c:axId val="216762544"/>
      </c:lineChart>
      <c:catAx>
        <c:axId val="216762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762544"/>
        <c:crosses val="autoZero"/>
        <c:auto val="1"/>
        <c:lblAlgn val="ctr"/>
        <c:lblOffset val="100"/>
        <c:noMultiLvlLbl val="0"/>
      </c:catAx>
      <c:valAx>
        <c:axId val="2167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7629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2000021872265973"/>
          <c:y val="0.48666695829687956"/>
          <c:w val="0.98333355205599304"/>
          <c:h val="0.62888918051910181"/>
        </c:manualLayout>
      </c:layout>
      <c:overlay val="1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823095823095825E-2"/>
          <c:y val="0.15827338129496402"/>
          <c:w val="0.84766584766584763"/>
          <c:h val="0.73021582733812951"/>
        </c:manualLayout>
      </c:layout>
      <c:scatterChart>
        <c:scatterStyle val="lineMarker"/>
        <c:varyColors val="0"/>
        <c:ser>
          <c:idx val="0"/>
          <c:order val="0"/>
          <c:tx>
            <c:strRef>
              <c:f>key!$A$5</c:f>
              <c:strCache>
                <c:ptCount val="1"/>
                <c:pt idx="0">
                  <c:v>Sunflower oil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0.1"/>
            <c:backward val="0.1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333333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x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xVal>
          <c:yVal>
            <c:numRef>
              <c:f>key!$D$5:$L$5</c:f>
              <c:numCache>
                <c:formatCode>General</c:formatCode>
                <c:ptCount val="9"/>
                <c:pt idx="0">
                  <c:v>81.099999999999994</c:v>
                </c:pt>
                <c:pt idx="1">
                  <c:v>89.4</c:v>
                </c:pt>
                <c:pt idx="2">
                  <c:v>101.2</c:v>
                </c:pt>
                <c:pt idx="3">
                  <c:v>202.3</c:v>
                </c:pt>
                <c:pt idx="4">
                  <c:v>198.5</c:v>
                </c:pt>
                <c:pt idx="5">
                  <c:v>199.3</c:v>
                </c:pt>
                <c:pt idx="6">
                  <c:v>177.8</c:v>
                </c:pt>
                <c:pt idx="7">
                  <c:v>213.1</c:v>
                </c:pt>
                <c:pt idx="8">
                  <c:v>128.80000000000001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61760"/>
        <c:axId val="216761368"/>
      </c:scatterChart>
      <c:valAx>
        <c:axId val="21676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761368"/>
        <c:crosses val="autoZero"/>
        <c:crossBetween val="midCat"/>
      </c:valAx>
      <c:valAx>
        <c:axId val="21676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67617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UA grain yields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58341386599501E-2"/>
          <c:y val="0.15827338129496402"/>
          <c:w val="0.57708450741476935"/>
          <c:h val="0.78776978417266186"/>
        </c:manualLayout>
      </c:layout>
      <c:scatterChart>
        <c:scatterStyle val="lineMarker"/>
        <c:varyColors val="0"/>
        <c:ser>
          <c:idx val="0"/>
          <c:order val="0"/>
          <c:tx>
            <c:strRef>
              <c:f>key!$A$6</c:f>
              <c:strCache>
                <c:ptCount val="1"/>
                <c:pt idx="0">
                  <c:v>Grain and infrastructure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backward val="2"/>
            <c:dispRSqr val="1"/>
            <c:dispEq val="1"/>
            <c:trendlineLbl>
              <c:layout>
                <c:manualLayout>
                  <c:x val="0.11664173228346462"/>
                  <c:y val="0.14773148148148194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66CC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xVal>
            <c:numRef>
              <c:f>'UA farming'!$AH$20:$AH$28</c:f>
              <c:numCache>
                <c:formatCode>General</c:formatCode>
                <c:ptCount val="9"/>
                <c:pt idx="0">
                  <c:v>2.1800000000000002</c:v>
                </c:pt>
                <c:pt idx="1">
                  <c:v>3.46</c:v>
                </c:pt>
                <c:pt idx="2">
                  <c:v>2.98</c:v>
                </c:pt>
                <c:pt idx="3">
                  <c:v>2.69</c:v>
                </c:pt>
                <c:pt idx="4">
                  <c:v>3.7</c:v>
                </c:pt>
                <c:pt idx="5">
                  <c:v>3.12</c:v>
                </c:pt>
                <c:pt idx="6">
                  <c:v>3.9899999999999998</c:v>
                </c:pt>
                <c:pt idx="7">
                  <c:v>4.37</c:v>
                </c:pt>
                <c:pt idx="8">
                  <c:v>4.1100000000000003</c:v>
                </c:pt>
              </c:numCache>
            </c:numRef>
          </c:xVal>
          <c:yVal>
            <c:numRef>
              <c:f>key!$D$6:$L$6</c:f>
              <c:numCache>
                <c:formatCode>General</c:formatCode>
                <c:ptCount val="9"/>
                <c:pt idx="0">
                  <c:v>39.9</c:v>
                </c:pt>
                <c:pt idx="1">
                  <c:v>111.6</c:v>
                </c:pt>
                <c:pt idx="2">
                  <c:v>79.8</c:v>
                </c:pt>
                <c:pt idx="3">
                  <c:v>93.6</c:v>
                </c:pt>
                <c:pt idx="4">
                  <c:v>59</c:v>
                </c:pt>
                <c:pt idx="5">
                  <c:v>59</c:v>
                </c:pt>
                <c:pt idx="6">
                  <c:v>125.8</c:v>
                </c:pt>
                <c:pt idx="7">
                  <c:v>114.5</c:v>
                </c:pt>
                <c:pt idx="8">
                  <c:v>107.1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key!$A$7</c:f>
              <c:strCache>
                <c:ptCount val="1"/>
                <c:pt idx="0">
                  <c:v>Farming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2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FF66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x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xVal>
          <c:yVal>
            <c:numRef>
              <c:f>key!$D$7:$L$7</c:f>
              <c:numCache>
                <c:formatCode>General</c:formatCode>
                <c:ptCount val="9"/>
                <c:pt idx="0">
                  <c:v>19.899999999999999</c:v>
                </c:pt>
                <c:pt idx="1">
                  <c:v>6.9</c:v>
                </c:pt>
                <c:pt idx="2">
                  <c:v>23.1</c:v>
                </c:pt>
                <c:pt idx="3">
                  <c:v>31.5</c:v>
                </c:pt>
                <c:pt idx="4">
                  <c:v>73.8</c:v>
                </c:pt>
                <c:pt idx="5">
                  <c:v>67.3</c:v>
                </c:pt>
                <c:pt idx="6">
                  <c:v>-44.3</c:v>
                </c:pt>
                <c:pt idx="7">
                  <c:v>97.9</c:v>
                </c:pt>
                <c:pt idx="8">
                  <c:v>145.9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20392"/>
        <c:axId val="364921568"/>
      </c:scatterChart>
      <c:valAx>
        <c:axId val="36492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921568"/>
        <c:crosses val="autoZero"/>
        <c:crossBetween val="midCat"/>
      </c:valAx>
      <c:valAx>
        <c:axId val="3649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920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5833355205599298"/>
          <c:y val="0.32777814231554386"/>
          <c:w val="0.98666710411198599"/>
          <c:h val="0.808334062408865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Deluted</a:t>
            </a:r>
            <a:r>
              <a:rPr lang="en-US" baseline="0"/>
              <a:t> EPS forecast under different scenarios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forecast!$A$55</c:f>
              <c:strCache>
                <c:ptCount val="1"/>
                <c:pt idx="0">
                  <c:v>GOOD CONDITIONS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forecast!$B$55:$N$55</c:f>
              <c:numCache>
                <c:formatCode>#,##0.00</c:formatCode>
                <c:ptCount val="13"/>
                <c:pt idx="0">
                  <c:v>-9.1761549087311101E-2</c:v>
                </c:pt>
                <c:pt idx="1">
                  <c:v>0.78318195332304918</c:v>
                </c:pt>
                <c:pt idx="2">
                  <c:v>1.162807697488464</c:v>
                </c:pt>
                <c:pt idx="3">
                  <c:v>0.12534165619261767</c:v>
                </c:pt>
                <c:pt idx="4">
                  <c:v>8.6437206864423008E-2</c:v>
                </c:pt>
                <c:pt idx="5">
                  <c:v>0.28285013178567581</c:v>
                </c:pt>
                <c:pt idx="6">
                  <c:v>1.1752312180334921</c:v>
                </c:pt>
                <c:pt idx="7">
                  <c:v>0.1821978499931047</c:v>
                </c:pt>
                <c:pt idx="8">
                  <c:v>0.24002568469340349</c:v>
                </c:pt>
                <c:pt idx="9">
                  <c:v>0.61332646118378153</c:v>
                </c:pt>
                <c:pt idx="10">
                  <c:v>1.8407634328046512</c:v>
                </c:pt>
                <c:pt idx="11">
                  <c:v>0.51754445980777442</c:v>
                </c:pt>
                <c:pt idx="12">
                  <c:v>0.58524536221636558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forecast!$A$56</c:f>
              <c:strCache>
                <c:ptCount val="1"/>
                <c:pt idx="0">
                  <c:v>BAD CONDITIONS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forecast!$B$56:$N$56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0.22173713061606887</c:v>
                </c:pt>
                <c:pt idx="6">
                  <c:v>1.0191588093458213</c:v>
                </c:pt>
                <c:pt idx="7">
                  <c:v>2.7498292473413004E-2</c:v>
                </c:pt>
                <c:pt idx="8">
                  <c:v>5.9937205086096755E-2</c:v>
                </c:pt>
                <c:pt idx="9">
                  <c:v>-0.36515701021172742</c:v>
                </c:pt>
                <c:pt idx="10">
                  <c:v>-6.8087642281353371E-3</c:v>
                </c:pt>
                <c:pt idx="11">
                  <c:v>-0.34194547230500422</c:v>
                </c:pt>
                <c:pt idx="12">
                  <c:v>-0.41431534300997652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forecast!$A$57</c:f>
              <c:strCache>
                <c:ptCount val="1"/>
                <c:pt idx="0">
                  <c:v>GOOD CONDITIONS &amp; EXPANSION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forecast!$B$57:$N$57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0.28285013178567581</c:v>
                </c:pt>
                <c:pt idx="6">
                  <c:v>1.1260538688061812</c:v>
                </c:pt>
                <c:pt idx="7">
                  <c:v>0.1005785391227183</c:v>
                </c:pt>
                <c:pt idx="8">
                  <c:v>0.20819200983113575</c:v>
                </c:pt>
                <c:pt idx="9">
                  <c:v>0.66039401240064199</c:v>
                </c:pt>
                <c:pt idx="10">
                  <c:v>1.9516573033952855</c:v>
                </c:pt>
                <c:pt idx="11">
                  <c:v>0.51155432807610701</c:v>
                </c:pt>
                <c:pt idx="12">
                  <c:v>0.64921608422824584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forecast!$A$58</c:f>
              <c:strCache>
                <c:ptCount val="1"/>
                <c:pt idx="0">
                  <c:v>BAD CONDITIONS &amp; EXPANSION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forecast!$B$58:$N$58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0.22173713061606887</c:v>
                </c:pt>
                <c:pt idx="6">
                  <c:v>0.98637390986094742</c:v>
                </c:pt>
                <c:pt idx="7">
                  <c:v>-3.7728568654536401E-2</c:v>
                </c:pt>
                <c:pt idx="8">
                  <c:v>2.8103530223828988E-2</c:v>
                </c:pt>
                <c:pt idx="9">
                  <c:v>-0.44557115289763849</c:v>
                </c:pt>
                <c:pt idx="10">
                  <c:v>-0.11942211652157153</c:v>
                </c:pt>
                <c:pt idx="11">
                  <c:v>-0.40480676717898106</c:v>
                </c:pt>
                <c:pt idx="12">
                  <c:v>-0.44382780598553395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526648"/>
        <c:axId val="377528608"/>
      </c:lineChart>
      <c:catAx>
        <c:axId val="37752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8608"/>
        <c:crossesAt val="2"/>
        <c:auto val="1"/>
        <c:lblAlgn val="ctr"/>
        <c:lblOffset val="100"/>
        <c:noMultiLvlLbl val="0"/>
      </c:catAx>
      <c:valAx>
        <c:axId val="377528608"/>
        <c:scaling>
          <c:orientation val="minMax"/>
          <c:max val="2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37</xdr:row>
      <xdr:rowOff>7620</xdr:rowOff>
    </xdr:from>
    <xdr:to>
      <xdr:col>9</xdr:col>
      <xdr:colOff>83820</xdr:colOff>
      <xdr:row>54</xdr:row>
      <xdr:rowOff>0</xdr:rowOff>
    </xdr:to>
    <xdr:graphicFrame macro="">
      <xdr:nvGraphicFramePr>
        <xdr:cNvPr id="8405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</xdr:colOff>
      <xdr:row>2</xdr:row>
      <xdr:rowOff>22860</xdr:rowOff>
    </xdr:from>
    <xdr:to>
      <xdr:col>23</xdr:col>
      <xdr:colOff>327660</xdr:colOff>
      <xdr:row>21</xdr:row>
      <xdr:rowOff>45720</xdr:rowOff>
    </xdr:to>
    <xdr:graphicFrame macro="">
      <xdr:nvGraphicFramePr>
        <xdr:cNvPr id="106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99060</xdr:colOff>
      <xdr:row>22</xdr:row>
      <xdr:rowOff>45720</xdr:rowOff>
    </xdr:from>
    <xdr:to>
      <xdr:col>23</xdr:col>
      <xdr:colOff>403860</xdr:colOff>
      <xdr:row>41</xdr:row>
      <xdr:rowOff>91440</xdr:rowOff>
    </xdr:to>
    <xdr:graphicFrame macro="">
      <xdr:nvGraphicFramePr>
        <xdr:cNvPr id="1066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137160</xdr:colOff>
      <xdr:row>29</xdr:row>
      <xdr:rowOff>7620</xdr:rowOff>
    </xdr:from>
    <xdr:to>
      <xdr:col>22</xdr:col>
      <xdr:colOff>350520</xdr:colOff>
      <xdr:row>45</xdr:row>
      <xdr:rowOff>68580</xdr:rowOff>
    </xdr:to>
    <xdr:graphicFrame macro="">
      <xdr:nvGraphicFramePr>
        <xdr:cNvPr id="137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29</xdr:row>
      <xdr:rowOff>0</xdr:rowOff>
    </xdr:from>
    <xdr:to>
      <xdr:col>31</xdr:col>
      <xdr:colOff>304800</xdr:colOff>
      <xdr:row>45</xdr:row>
      <xdr:rowOff>60960</xdr:rowOff>
    </xdr:to>
    <xdr:graphicFrame macro="">
      <xdr:nvGraphicFramePr>
        <xdr:cNvPr id="137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396240</xdr:colOff>
      <xdr:row>58</xdr:row>
      <xdr:rowOff>45720</xdr:rowOff>
    </xdr:from>
    <xdr:to>
      <xdr:col>15</xdr:col>
      <xdr:colOff>91440</xdr:colOff>
      <xdr:row>74</xdr:row>
      <xdr:rowOff>106680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ices/commodities%20pric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Chart3"/>
      <sheetName val="Chart4"/>
      <sheetName val="prices"/>
      <sheetName val="wheat"/>
      <sheetName val="corn"/>
      <sheetName val="Palm Oil"/>
      <sheetName val="soybean oil"/>
      <sheetName val="Diesel"/>
      <sheetName val="Chart5"/>
      <sheetName val="SFO"/>
    </sheetNames>
    <sheetDataSet>
      <sheetData sheetId="0" refreshError="1"/>
      <sheetData sheetId="1" refreshError="1"/>
      <sheetData sheetId="2" refreshError="1"/>
      <sheetData sheetId="3">
        <row r="5">
          <cell r="B5">
            <v>320.34313725490205</v>
          </cell>
          <cell r="C5">
            <v>311.17446001838243</v>
          </cell>
          <cell r="D5">
            <v>271.50735294117658</v>
          </cell>
          <cell r="E5">
            <v>255.64682904411774</v>
          </cell>
          <cell r="F5">
            <v>238.99500229779417</v>
          </cell>
          <cell r="G5">
            <v>240.91366038602948</v>
          </cell>
          <cell r="H5">
            <v>226.86083654773381</v>
          </cell>
          <cell r="I5">
            <v>239.90283613445376</v>
          </cell>
          <cell r="J5">
            <v>194.24689797794116</v>
          </cell>
          <cell r="K5">
            <v>204.25235523897052</v>
          </cell>
          <cell r="L5">
            <v>192.13476374156213</v>
          </cell>
          <cell r="M5">
            <v>185.36852240896357</v>
          </cell>
          <cell r="N5">
            <v>187.94376148897049</v>
          </cell>
          <cell r="O5">
            <v>180.98575367647055</v>
          </cell>
          <cell r="P5">
            <v>171.18641513982641</v>
          </cell>
          <cell r="Q5">
            <v>172.98512178308826</v>
          </cell>
          <cell r="R5">
            <v>149.07657398897055</v>
          </cell>
          <cell r="S5">
            <v>148.21574463118586</v>
          </cell>
          <cell r="T5">
            <v>157.8614207779886</v>
          </cell>
          <cell r="U5">
            <v>160.43563258636792</v>
          </cell>
          <cell r="V5">
            <v>168.0220004668534</v>
          </cell>
          <cell r="W5">
            <v>176.36700513538747</v>
          </cell>
          <cell r="X5">
            <v>182.27999533146593</v>
          </cell>
          <cell r="Y5">
            <v>187.15277777777777</v>
          </cell>
        </row>
        <row r="16">
          <cell r="B16">
            <v>305.76021747281607</v>
          </cell>
          <cell r="C16">
            <v>290.44199064960628</v>
          </cell>
          <cell r="D16">
            <v>280.39698162729655</v>
          </cell>
          <cell r="E16">
            <v>256.39456200787401</v>
          </cell>
          <cell r="F16">
            <v>193.3009350393701</v>
          </cell>
          <cell r="G16">
            <v>169.84344242125979</v>
          </cell>
          <cell r="H16">
            <v>178.59493997676515</v>
          </cell>
          <cell r="I16">
            <v>189.06855393075867</v>
          </cell>
          <cell r="J16">
            <v>141.77915260592425</v>
          </cell>
          <cell r="K16">
            <v>147.3409573803275</v>
          </cell>
          <cell r="L16">
            <v>152.09597263456823</v>
          </cell>
          <cell r="M16">
            <v>144.44756905386822</v>
          </cell>
          <cell r="N16">
            <v>152.07615649606296</v>
          </cell>
          <cell r="O16">
            <v>147.20872293307085</v>
          </cell>
          <cell r="P16">
            <v>143.04569510778367</v>
          </cell>
          <cell r="Q16">
            <v>154.26304133858267</v>
          </cell>
          <cell r="R16">
            <v>131.39917568897641</v>
          </cell>
          <cell r="S16">
            <v>137.69060117485319</v>
          </cell>
          <cell r="T16">
            <v>143.93389970990467</v>
          </cell>
          <cell r="U16">
            <v>147.19566304211975</v>
          </cell>
          <cell r="V16">
            <v>151.59667541557306</v>
          </cell>
          <cell r="W16">
            <v>155.93363329583804</v>
          </cell>
          <cell r="X16">
            <v>159.25353080864892</v>
          </cell>
          <cell r="Y16">
            <v>162.02193475815523</v>
          </cell>
        </row>
        <row r="41">
          <cell r="B41">
            <v>980.953125</v>
          </cell>
          <cell r="C41">
            <v>988.353515625</v>
          </cell>
          <cell r="D41">
            <v>976.70161290322585</v>
          </cell>
          <cell r="E41">
            <v>892.36693548387098</v>
          </cell>
          <cell r="F41">
            <v>951.84615384615381</v>
          </cell>
          <cell r="G41">
            <v>943.8671875</v>
          </cell>
          <cell r="H41">
            <v>926.71031746031747</v>
          </cell>
          <cell r="I41">
            <v>923.28073770491801</v>
          </cell>
          <cell r="J41">
            <v>881.8</v>
          </cell>
          <cell r="K41">
            <v>701.376953125</v>
          </cell>
          <cell r="L41">
            <v>531.59722222222217</v>
          </cell>
          <cell r="M41">
            <v>583.14139344262298</v>
          </cell>
          <cell r="N41">
            <v>487.16923076923075</v>
          </cell>
          <cell r="O41">
            <v>413.615234375</v>
          </cell>
          <cell r="P41">
            <v>315.25806451612902</v>
          </cell>
          <cell r="Q41">
            <v>414.47817460317458</v>
          </cell>
          <cell r="R41">
            <v>410.81346153846152</v>
          </cell>
          <cell r="S41">
            <v>458.31944444444446</v>
          </cell>
          <cell r="T41">
            <v>481.94921875</v>
          </cell>
          <cell r="U41">
            <v>499.10708791208793</v>
          </cell>
          <cell r="V41">
            <v>505.10106521739135</v>
          </cell>
          <cell r="W41">
            <v>509.50121739130435</v>
          </cell>
          <cell r="X41">
            <v>511.97508888888893</v>
          </cell>
          <cell r="Y41">
            <v>511.351</v>
          </cell>
        </row>
        <row r="60">
          <cell r="T60">
            <v>961.53666666666675</v>
          </cell>
          <cell r="U60">
            <v>978.33632076025128</v>
          </cell>
          <cell r="V60">
            <v>983.35228170906782</v>
          </cell>
          <cell r="W60">
            <v>992.06773302175759</v>
          </cell>
          <cell r="X60">
            <v>1001.1115590514589</v>
          </cell>
          <cell r="Y60">
            <v>1007.0184407257067</v>
          </cell>
          <cell r="Z60">
            <v>1012.9253223999544</v>
          </cell>
          <cell r="AA60">
            <v>1018.8322040742022</v>
          </cell>
          <cell r="AB60">
            <v>1024.73908574845</v>
          </cell>
          <cell r="AC60">
            <v>1030.6459674226976</v>
          </cell>
        </row>
        <row r="63">
          <cell r="T63">
            <v>175.11973060883739</v>
          </cell>
          <cell r="U63">
            <v>177.6939424172167</v>
          </cell>
          <cell r="V63">
            <v>185.28031029770219</v>
          </cell>
          <cell r="W63">
            <v>193.62531496623626</v>
          </cell>
          <cell r="X63">
            <v>199.53830516231471</v>
          </cell>
          <cell r="Y63">
            <v>204.41108760862656</v>
          </cell>
          <cell r="Z63">
            <v>209.2838700549384</v>
          </cell>
          <cell r="AA63">
            <v>214.15665250125025</v>
          </cell>
          <cell r="AB63">
            <v>219.02943494756209</v>
          </cell>
          <cell r="AC63">
            <v>223.90221739387394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22" sqref="L22"/>
    </sheetView>
  </sheetViews>
  <sheetFormatPr defaultRowHeight="13.2" x14ac:dyDescent="0.25"/>
  <cols>
    <col min="1" max="1" width="29.33203125" bestFit="1" customWidth="1"/>
  </cols>
  <sheetData>
    <row r="1" spans="1:12" ht="13.8" x14ac:dyDescent="0.25">
      <c r="A1" s="14" t="s">
        <v>49</v>
      </c>
    </row>
    <row r="2" spans="1:12" x14ac:dyDescent="0.25">
      <c r="A2" s="15" t="s">
        <v>63</v>
      </c>
      <c r="B2" s="32" t="s">
        <v>3</v>
      </c>
      <c r="C2" s="32" t="s">
        <v>4</v>
      </c>
      <c r="D2" s="32" t="s">
        <v>5</v>
      </c>
      <c r="E2" s="32" t="s">
        <v>6</v>
      </c>
      <c r="F2" s="32" t="s">
        <v>7</v>
      </c>
      <c r="G2" s="32" t="s">
        <v>8</v>
      </c>
      <c r="H2" s="32" t="s">
        <v>9</v>
      </c>
      <c r="I2" s="32" t="s">
        <v>10</v>
      </c>
      <c r="J2" s="32" t="s">
        <v>11</v>
      </c>
      <c r="K2" s="32" t="s">
        <v>12</v>
      </c>
      <c r="L2" s="32" t="s">
        <v>13</v>
      </c>
    </row>
    <row r="3" spans="1:12" x14ac:dyDescent="0.25">
      <c r="A3" s="16" t="s">
        <v>50</v>
      </c>
    </row>
    <row r="4" spans="1:12" x14ac:dyDescent="0.25">
      <c r="A4" s="15" t="s">
        <v>75</v>
      </c>
      <c r="B4" s="21">
        <v>6.4</v>
      </c>
      <c r="C4" s="21">
        <v>25.3</v>
      </c>
      <c r="D4" s="21">
        <v>88.5</v>
      </c>
      <c r="E4" s="21">
        <v>129.30000000000001</v>
      </c>
      <c r="F4" s="21">
        <v>59.5</v>
      </c>
      <c r="G4" s="21">
        <v>115.9</v>
      </c>
      <c r="H4" s="21">
        <v>82.5</v>
      </c>
      <c r="I4" s="21">
        <v>78.8</v>
      </c>
      <c r="J4" s="21">
        <v>65.400000000000006</v>
      </c>
      <c r="K4" s="21">
        <v>129.1</v>
      </c>
      <c r="L4" s="21">
        <v>60.4</v>
      </c>
    </row>
    <row r="5" spans="1:12" x14ac:dyDescent="0.25">
      <c r="A5" s="15" t="s">
        <v>76</v>
      </c>
      <c r="B5" s="21">
        <v>9.1</v>
      </c>
      <c r="C5" s="21">
        <v>9.8000000000000007</v>
      </c>
      <c r="D5" s="21">
        <v>48.7</v>
      </c>
      <c r="E5" s="21">
        <v>32.4</v>
      </c>
      <c r="F5" s="21">
        <v>65.5</v>
      </c>
      <c r="G5" s="21">
        <v>111.6</v>
      </c>
      <c r="H5" s="21">
        <v>146.4</v>
      </c>
      <c r="I5" s="21">
        <v>150.80000000000001</v>
      </c>
      <c r="J5" s="21">
        <v>99.8</v>
      </c>
      <c r="K5" s="21">
        <v>56.1</v>
      </c>
      <c r="L5" s="21">
        <v>75.2</v>
      </c>
    </row>
    <row r="6" spans="1:12" x14ac:dyDescent="0.25">
      <c r="A6" s="15" t="s">
        <v>74</v>
      </c>
      <c r="B6" s="21">
        <v>32.299999999999997</v>
      </c>
      <c r="C6" s="21">
        <v>40.200000000000003</v>
      </c>
      <c r="D6" s="21">
        <v>144.69999999999999</v>
      </c>
      <c r="E6" s="21">
        <v>99.1</v>
      </c>
      <c r="F6" s="21">
        <v>147.80000000000001</v>
      </c>
      <c r="G6" s="21">
        <v>183.7</v>
      </c>
      <c r="H6" s="21">
        <v>410.2</v>
      </c>
      <c r="I6" s="21">
        <v>270.2</v>
      </c>
      <c r="J6" s="21">
        <v>299.5</v>
      </c>
      <c r="K6" s="21">
        <v>158.80000000000001</v>
      </c>
      <c r="L6" s="21">
        <v>200.2</v>
      </c>
    </row>
    <row r="7" spans="1:12" x14ac:dyDescent="0.25">
      <c r="A7" s="16" t="s">
        <v>77</v>
      </c>
      <c r="B7" s="21">
        <v>29.3</v>
      </c>
      <c r="C7" s="21">
        <v>38.1</v>
      </c>
      <c r="D7" s="21">
        <v>138.6</v>
      </c>
      <c r="E7" s="21">
        <v>94.9</v>
      </c>
      <c r="F7" s="21">
        <v>142.9</v>
      </c>
      <c r="G7" s="21">
        <v>172.7</v>
      </c>
      <c r="H7" s="21">
        <v>385.1</v>
      </c>
      <c r="I7" s="21">
        <v>175.1</v>
      </c>
      <c r="J7" s="21">
        <v>243.4</v>
      </c>
      <c r="K7" s="21">
        <v>140.1</v>
      </c>
      <c r="L7" s="21">
        <v>183.7</v>
      </c>
    </row>
    <row r="8" spans="1:12" x14ac:dyDescent="0.25">
      <c r="A8" s="15" t="s">
        <v>78</v>
      </c>
      <c r="B8" s="21">
        <v>3.4</v>
      </c>
      <c r="C8" s="21">
        <v>9.6999999999999993</v>
      </c>
      <c r="D8" s="21">
        <v>42.4</v>
      </c>
      <c r="E8" s="21">
        <v>18.899999999999999</v>
      </c>
      <c r="F8" s="21">
        <v>26.1</v>
      </c>
      <c r="G8" s="21">
        <v>96</v>
      </c>
      <c r="H8" s="21">
        <v>153.30000000000001</v>
      </c>
      <c r="I8" s="21">
        <v>247</v>
      </c>
      <c r="J8" s="21">
        <v>182.8</v>
      </c>
      <c r="K8" s="21">
        <v>146.6</v>
      </c>
      <c r="L8" s="21">
        <v>190.3</v>
      </c>
    </row>
    <row r="9" spans="1:12" x14ac:dyDescent="0.25">
      <c r="A9" s="15" t="s">
        <v>79</v>
      </c>
      <c r="B9" s="21">
        <v>16.8</v>
      </c>
      <c r="C9" s="21">
        <v>31.1</v>
      </c>
      <c r="D9" s="21">
        <v>53</v>
      </c>
      <c r="E9" s="21">
        <v>98.7</v>
      </c>
      <c r="F9" s="21">
        <v>299.8</v>
      </c>
      <c r="G9" s="21">
        <v>302.60000000000002</v>
      </c>
      <c r="H9" s="21">
        <v>326</v>
      </c>
      <c r="I9" s="21">
        <v>343.3</v>
      </c>
      <c r="J9" s="21">
        <v>225</v>
      </c>
      <c r="K9" s="21">
        <v>168</v>
      </c>
      <c r="L9" s="21">
        <v>194.4</v>
      </c>
    </row>
    <row r="10" spans="1:12" x14ac:dyDescent="0.25">
      <c r="A10" s="15" t="s">
        <v>134</v>
      </c>
      <c r="B10" s="21">
        <v>72.5</v>
      </c>
      <c r="C10" s="21">
        <v>127.9</v>
      </c>
      <c r="D10" s="21">
        <v>231.6</v>
      </c>
      <c r="E10" s="21">
        <v>221.8</v>
      </c>
      <c r="F10" s="21">
        <v>379</v>
      </c>
      <c r="G10" s="21">
        <v>502.8</v>
      </c>
      <c r="H10" s="21">
        <v>728.4</v>
      </c>
      <c r="I10" s="21">
        <v>763.3</v>
      </c>
      <c r="J10" s="21">
        <v>643.5</v>
      </c>
      <c r="K10" s="21">
        <v>535.20000000000005</v>
      </c>
      <c r="L10" s="21">
        <v>538.70000000000005</v>
      </c>
    </row>
    <row r="11" spans="1:12" x14ac:dyDescent="0.25">
      <c r="A11" s="15" t="s">
        <v>80</v>
      </c>
      <c r="B11" s="21">
        <v>15.4</v>
      </c>
      <c r="C11" s="21">
        <v>31.2</v>
      </c>
      <c r="D11" s="21">
        <v>146.69999999999999</v>
      </c>
      <c r="E11" s="21">
        <v>99.6</v>
      </c>
      <c r="F11" s="21">
        <v>147</v>
      </c>
      <c r="G11" s="21">
        <v>260.10000000000002</v>
      </c>
      <c r="H11" s="21">
        <v>269.60000000000002</v>
      </c>
      <c r="I11" s="21">
        <v>508.2</v>
      </c>
      <c r="J11" s="21">
        <v>403</v>
      </c>
      <c r="K11" s="21">
        <v>271.89999999999998</v>
      </c>
      <c r="L11" s="21">
        <v>250.2</v>
      </c>
    </row>
    <row r="12" spans="1:12" x14ac:dyDescent="0.25">
      <c r="A12" s="17" t="s">
        <v>81</v>
      </c>
      <c r="B12" s="21">
        <v>155.80000000000001</v>
      </c>
      <c r="C12" s="21">
        <v>275.10000000000002</v>
      </c>
      <c r="D12" s="21">
        <v>755.6</v>
      </c>
      <c r="E12" s="21">
        <v>699.7</v>
      </c>
      <c r="F12" s="21">
        <v>1124.8</v>
      </c>
      <c r="G12" s="21">
        <v>1572.6</v>
      </c>
      <c r="H12" s="21">
        <v>2116.4</v>
      </c>
      <c r="I12" s="21">
        <v>2361.6</v>
      </c>
      <c r="J12" s="21">
        <v>1919</v>
      </c>
      <c r="K12" s="21">
        <v>1465.6</v>
      </c>
      <c r="L12" s="21">
        <v>1509.4</v>
      </c>
    </row>
    <row r="13" spans="1:12" x14ac:dyDescent="0.25">
      <c r="A13" s="16" t="s">
        <v>51</v>
      </c>
    </row>
    <row r="14" spans="1:12" x14ac:dyDescent="0.25">
      <c r="A14" s="15" t="s">
        <v>82</v>
      </c>
      <c r="B14" s="21">
        <v>34.5</v>
      </c>
      <c r="C14" s="21">
        <v>59.2</v>
      </c>
      <c r="D14" s="21">
        <v>185.1</v>
      </c>
      <c r="E14" s="21">
        <v>195.1</v>
      </c>
      <c r="F14" s="21">
        <v>352.2</v>
      </c>
      <c r="G14" s="21">
        <v>395</v>
      </c>
      <c r="H14" s="21">
        <v>446.2</v>
      </c>
      <c r="I14" s="21">
        <v>700.1</v>
      </c>
      <c r="J14" s="21">
        <v>597.4</v>
      </c>
      <c r="K14" s="21">
        <v>458.1</v>
      </c>
      <c r="L14" s="21">
        <v>373.3</v>
      </c>
    </row>
    <row r="15" spans="1:12" x14ac:dyDescent="0.25">
      <c r="A15" s="25" t="s">
        <v>83</v>
      </c>
      <c r="B15" s="21">
        <v>29.8</v>
      </c>
      <c r="C15" s="21">
        <v>45.8</v>
      </c>
      <c r="D15" s="21">
        <v>160.80000000000001</v>
      </c>
      <c r="E15" s="21">
        <v>166.7</v>
      </c>
      <c r="F15" s="21">
        <v>215.1</v>
      </c>
      <c r="G15" s="21">
        <v>271.39999999999998</v>
      </c>
      <c r="H15" s="21">
        <v>271.39999999999998</v>
      </c>
      <c r="I15" s="21">
        <v>458.2</v>
      </c>
      <c r="J15" s="21">
        <v>489.4</v>
      </c>
      <c r="K15" s="21">
        <v>373.3</v>
      </c>
      <c r="L15" s="21">
        <v>259</v>
      </c>
    </row>
    <row r="16" spans="1:12" x14ac:dyDescent="0.25">
      <c r="A16" s="15" t="s">
        <v>84</v>
      </c>
      <c r="B16" s="21">
        <v>73.8</v>
      </c>
      <c r="C16" s="21">
        <v>130.6</v>
      </c>
      <c r="D16" s="21">
        <v>130.1</v>
      </c>
      <c r="E16" s="21">
        <v>147.19999999999999</v>
      </c>
      <c r="F16" s="21">
        <v>167.7</v>
      </c>
      <c r="G16" s="21">
        <v>180.3</v>
      </c>
      <c r="H16" s="21">
        <v>459.5</v>
      </c>
      <c r="I16" s="21">
        <v>309.3</v>
      </c>
      <c r="J16" s="21">
        <v>291</v>
      </c>
      <c r="K16" s="21">
        <v>116.7</v>
      </c>
      <c r="L16" s="21">
        <v>139</v>
      </c>
    </row>
    <row r="17" spans="1:12" x14ac:dyDescent="0.25">
      <c r="A17" s="25" t="s">
        <v>85</v>
      </c>
      <c r="B17" s="21">
        <v>64.400000000000006</v>
      </c>
      <c r="C17" s="21">
        <v>112.4</v>
      </c>
      <c r="D17" s="21">
        <v>98.1</v>
      </c>
      <c r="E17" s="21">
        <v>132.9</v>
      </c>
      <c r="F17" s="21">
        <v>135.30000000000001</v>
      </c>
      <c r="G17" s="21">
        <v>156.1</v>
      </c>
      <c r="H17" s="21">
        <v>426.9</v>
      </c>
      <c r="I17" s="21">
        <v>275.7</v>
      </c>
      <c r="J17" s="21">
        <v>260</v>
      </c>
      <c r="K17" s="21">
        <v>95.2</v>
      </c>
      <c r="L17" s="21">
        <v>84.1</v>
      </c>
    </row>
    <row r="18" spans="1:12" x14ac:dyDescent="0.25">
      <c r="A18" s="17" t="s">
        <v>86</v>
      </c>
      <c r="B18" s="21">
        <v>108.3</v>
      </c>
      <c r="C18" s="21">
        <v>189.8</v>
      </c>
      <c r="D18" s="21">
        <v>315.2</v>
      </c>
      <c r="E18" s="21">
        <v>342.2</v>
      </c>
      <c r="F18" s="21">
        <v>519.9</v>
      </c>
      <c r="G18" s="21">
        <v>575.29999999999995</v>
      </c>
      <c r="H18" s="21">
        <v>905.7</v>
      </c>
      <c r="I18" s="21">
        <v>1009.4</v>
      </c>
      <c r="J18" s="21">
        <v>888.3</v>
      </c>
      <c r="K18" s="21">
        <v>574.79999999999995</v>
      </c>
      <c r="L18" s="21">
        <v>512.29999999999995</v>
      </c>
    </row>
    <row r="19" spans="1:12" x14ac:dyDescent="0.25">
      <c r="A19" s="17" t="s">
        <v>87</v>
      </c>
      <c r="B19" s="21">
        <v>47.6</v>
      </c>
      <c r="C19" s="21">
        <v>85.3</v>
      </c>
      <c r="D19" s="21">
        <v>440.4</v>
      </c>
      <c r="E19" s="21">
        <v>357.5</v>
      </c>
      <c r="F19" s="21">
        <v>604.9</v>
      </c>
      <c r="G19" s="21">
        <v>997.3</v>
      </c>
      <c r="H19" s="21">
        <v>1210.7</v>
      </c>
      <c r="I19" s="21">
        <v>1352.3</v>
      </c>
      <c r="J19" s="21">
        <v>1030.7</v>
      </c>
      <c r="K19" s="21">
        <v>890.8</v>
      </c>
      <c r="L19" s="21">
        <v>997.1</v>
      </c>
    </row>
    <row r="20" spans="1:12" ht="13.8" x14ac:dyDescent="0.25">
      <c r="A20" s="14" t="s">
        <v>52</v>
      </c>
    </row>
    <row r="21" spans="1:12" x14ac:dyDescent="0.25">
      <c r="A21" s="15" t="s">
        <v>135</v>
      </c>
      <c r="B21" s="32" t="s">
        <v>3</v>
      </c>
      <c r="C21" s="32" t="s">
        <v>4</v>
      </c>
      <c r="D21" s="32" t="s">
        <v>5</v>
      </c>
      <c r="E21" s="32" t="s">
        <v>6</v>
      </c>
      <c r="F21" s="32" t="s">
        <v>7</v>
      </c>
      <c r="G21" s="32" t="s">
        <v>8</v>
      </c>
      <c r="H21" s="32" t="s">
        <v>9</v>
      </c>
      <c r="I21" s="32" t="s">
        <v>10</v>
      </c>
      <c r="J21" s="32" t="s">
        <v>11</v>
      </c>
      <c r="K21" s="32" t="s">
        <v>12</v>
      </c>
      <c r="L21" s="32" t="s">
        <v>13</v>
      </c>
    </row>
    <row r="22" spans="1:12" x14ac:dyDescent="0.25">
      <c r="A22" s="15" t="s">
        <v>37</v>
      </c>
      <c r="B22" s="21">
        <v>94.2</v>
      </c>
      <c r="C22" s="21">
        <v>158.19999999999999</v>
      </c>
      <c r="D22" s="21">
        <v>258.8</v>
      </c>
      <c r="E22" s="21">
        <v>299.5</v>
      </c>
      <c r="F22" s="21">
        <v>350.4</v>
      </c>
      <c r="G22" s="21">
        <v>427.5</v>
      </c>
      <c r="H22" s="21">
        <v>698.3</v>
      </c>
      <c r="I22" s="21">
        <v>733.9</v>
      </c>
      <c r="J22" s="21">
        <v>749.4</v>
      </c>
      <c r="K22" s="21">
        <v>468.5</v>
      </c>
      <c r="L22" s="21">
        <v>343.1</v>
      </c>
    </row>
    <row r="23" spans="1:12" x14ac:dyDescent="0.25">
      <c r="A23" s="15" t="s">
        <v>18</v>
      </c>
      <c r="B23" s="21">
        <v>6.4</v>
      </c>
      <c r="C23" s="21">
        <v>25.3</v>
      </c>
      <c r="D23" s="21">
        <v>88.5</v>
      </c>
      <c r="E23" s="21">
        <v>129.30000000000001</v>
      </c>
      <c r="F23" s="21">
        <v>59.5</v>
      </c>
      <c r="G23" s="21">
        <v>115.9</v>
      </c>
      <c r="H23" s="21">
        <v>82.5</v>
      </c>
      <c r="I23" s="21">
        <v>78.8</v>
      </c>
      <c r="J23" s="21">
        <v>65.400000000000006</v>
      </c>
      <c r="K23" s="21">
        <v>129.1</v>
      </c>
      <c r="L23" s="21">
        <v>60.4</v>
      </c>
    </row>
    <row r="24" spans="1:12" x14ac:dyDescent="0.25">
      <c r="A24" s="17" t="s">
        <v>38</v>
      </c>
      <c r="B24" s="21">
        <v>87.8</v>
      </c>
      <c r="C24" s="21">
        <v>132.9</v>
      </c>
      <c r="D24" s="21">
        <v>170.3</v>
      </c>
      <c r="E24" s="21">
        <v>170.3</v>
      </c>
      <c r="F24" s="21">
        <v>290.89999999999998</v>
      </c>
      <c r="G24" s="21">
        <v>311.60000000000002</v>
      </c>
      <c r="H24" s="21">
        <v>615.79999999999995</v>
      </c>
      <c r="I24" s="21">
        <v>655.1</v>
      </c>
      <c r="J24" s="21">
        <v>684</v>
      </c>
      <c r="K24" s="21">
        <v>339.4</v>
      </c>
      <c r="L24" s="21">
        <v>282.8</v>
      </c>
    </row>
    <row r="25" spans="1:12" x14ac:dyDescent="0.25">
      <c r="A25" s="15" t="s">
        <v>88</v>
      </c>
      <c r="B25" s="21">
        <v>29.3</v>
      </c>
      <c r="C25" s="21">
        <v>38.1</v>
      </c>
      <c r="D25" s="21">
        <v>138.6</v>
      </c>
      <c r="E25" s="21">
        <v>94.9</v>
      </c>
      <c r="F25" s="21">
        <v>142.9</v>
      </c>
      <c r="G25" s="21">
        <v>172.7</v>
      </c>
      <c r="H25" s="21">
        <v>385.1</v>
      </c>
      <c r="I25" s="21">
        <v>175.1</v>
      </c>
      <c r="J25" s="21">
        <v>243.4</v>
      </c>
      <c r="K25" s="21">
        <v>140.1</v>
      </c>
      <c r="L25" s="21">
        <v>183.7</v>
      </c>
    </row>
    <row r="26" spans="1:12" x14ac:dyDescent="0.25">
      <c r="A26" s="17" t="s">
        <v>40</v>
      </c>
      <c r="B26" s="21">
        <v>58.5</v>
      </c>
      <c r="C26" s="21">
        <v>94.8</v>
      </c>
      <c r="D26" s="21">
        <v>31.7</v>
      </c>
      <c r="E26" s="21">
        <v>75.400000000000006</v>
      </c>
      <c r="F26" s="21">
        <v>148</v>
      </c>
      <c r="G26" s="21">
        <v>138.9</v>
      </c>
      <c r="H26" s="21">
        <v>230.7</v>
      </c>
      <c r="I26" s="21">
        <v>480</v>
      </c>
      <c r="J26" s="21">
        <v>440.6</v>
      </c>
      <c r="K26" s="21">
        <v>199.3</v>
      </c>
      <c r="L26" s="21">
        <v>99.1</v>
      </c>
    </row>
    <row r="27" spans="1:12" x14ac:dyDescent="0.25">
      <c r="A27" s="15" t="s">
        <v>53</v>
      </c>
    </row>
    <row r="28" spans="1:12" x14ac:dyDescent="0.25">
      <c r="A28" s="15" t="s">
        <v>89</v>
      </c>
      <c r="B28" s="20" t="s">
        <v>92</v>
      </c>
      <c r="C28" s="20" t="s">
        <v>93</v>
      </c>
      <c r="D28" s="20" t="s">
        <v>94</v>
      </c>
      <c r="E28" s="20" t="s">
        <v>95</v>
      </c>
      <c r="F28" s="20" t="s">
        <v>96</v>
      </c>
      <c r="G28" s="20" t="s">
        <v>97</v>
      </c>
      <c r="H28" s="20" t="s">
        <v>98</v>
      </c>
      <c r="I28" s="20" t="s">
        <v>99</v>
      </c>
      <c r="J28" s="20" t="s">
        <v>100</v>
      </c>
      <c r="K28" s="20" t="s">
        <v>95</v>
      </c>
      <c r="L28" s="20" t="s">
        <v>101</v>
      </c>
    </row>
    <row r="29" spans="1:12" x14ac:dyDescent="0.25">
      <c r="A29" s="15" t="s">
        <v>90</v>
      </c>
      <c r="B29" s="20" t="s">
        <v>102</v>
      </c>
      <c r="C29" s="20" t="s">
        <v>103</v>
      </c>
      <c r="D29" s="20" t="s">
        <v>104</v>
      </c>
      <c r="E29" s="20" t="s">
        <v>105</v>
      </c>
      <c r="F29" s="20" t="s">
        <v>101</v>
      </c>
      <c r="G29" s="20" t="s">
        <v>105</v>
      </c>
      <c r="H29" s="20" t="s">
        <v>106</v>
      </c>
      <c r="I29" s="20" t="s">
        <v>107</v>
      </c>
      <c r="J29" s="20" t="s">
        <v>103</v>
      </c>
      <c r="K29" s="20" t="s">
        <v>108</v>
      </c>
      <c r="L29" s="20" t="s">
        <v>104</v>
      </c>
    </row>
    <row r="30" spans="1:12" x14ac:dyDescent="0.25">
      <c r="A30" s="15" t="s">
        <v>91</v>
      </c>
      <c r="B30" s="20" t="s">
        <v>109</v>
      </c>
      <c r="C30" s="20" t="s">
        <v>110</v>
      </c>
      <c r="D30" s="20" t="s">
        <v>111</v>
      </c>
      <c r="E30" s="20" t="s">
        <v>112</v>
      </c>
      <c r="F30" s="20" t="s">
        <v>113</v>
      </c>
      <c r="G30" s="20" t="s">
        <v>114</v>
      </c>
      <c r="H30" s="20" t="s">
        <v>115</v>
      </c>
      <c r="I30" s="20" t="s">
        <v>116</v>
      </c>
      <c r="J30" s="20" t="s">
        <v>100</v>
      </c>
      <c r="K30" s="20" t="s">
        <v>117</v>
      </c>
      <c r="L30" s="20" t="s">
        <v>118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6"/>
  <sheetViews>
    <sheetView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L27" sqref="L27"/>
    </sheetView>
  </sheetViews>
  <sheetFormatPr defaultRowHeight="13.2" x14ac:dyDescent="0.25"/>
  <cols>
    <col min="1" max="1" width="47" bestFit="1" customWidth="1"/>
    <col min="13" max="13" width="1.33203125" customWidth="1"/>
  </cols>
  <sheetData>
    <row r="1" spans="1:16" ht="13.8" x14ac:dyDescent="0.25">
      <c r="A1" s="14" t="s">
        <v>54</v>
      </c>
    </row>
    <row r="2" spans="1:16" x14ac:dyDescent="0.25">
      <c r="A2" s="15" t="s">
        <v>58</v>
      </c>
      <c r="B2" s="31" t="s">
        <v>3</v>
      </c>
      <c r="C2" s="31" t="s">
        <v>4</v>
      </c>
      <c r="D2" s="31" t="s">
        <v>5</v>
      </c>
      <c r="E2" s="31" t="s">
        <v>6</v>
      </c>
      <c r="F2" s="31" t="s">
        <v>7</v>
      </c>
      <c r="G2" s="31" t="s">
        <v>8</v>
      </c>
      <c r="H2" s="31" t="s">
        <v>9</v>
      </c>
      <c r="I2" s="31" t="s">
        <v>10</v>
      </c>
      <c r="J2" s="31" t="s">
        <v>11</v>
      </c>
      <c r="K2" s="31" t="s">
        <v>12</v>
      </c>
      <c r="L2" s="31" t="s">
        <v>13</v>
      </c>
      <c r="N2" s="31" t="s">
        <v>140</v>
      </c>
      <c r="O2" s="31" t="s">
        <v>141</v>
      </c>
      <c r="P2" s="31" t="s">
        <v>142</v>
      </c>
    </row>
    <row r="3" spans="1:16" x14ac:dyDescent="0.25">
      <c r="A3" s="17" t="s">
        <v>14</v>
      </c>
      <c r="B3" s="19">
        <v>215.2</v>
      </c>
      <c r="C3" s="19">
        <v>350.4</v>
      </c>
      <c r="D3" s="19">
        <v>663.1</v>
      </c>
      <c r="E3" s="19">
        <v>1047.0999999999999</v>
      </c>
      <c r="F3" s="19">
        <v>1020.5</v>
      </c>
      <c r="G3" s="19">
        <v>1899.1</v>
      </c>
      <c r="H3" s="19">
        <v>2071.8000000000002</v>
      </c>
      <c r="I3" s="19">
        <v>2796.8</v>
      </c>
      <c r="J3" s="19">
        <v>2393.3000000000002</v>
      </c>
      <c r="K3" s="19">
        <v>2329.5</v>
      </c>
      <c r="L3" s="19">
        <v>1988.5</v>
      </c>
    </row>
    <row r="4" spans="1:16" x14ac:dyDescent="0.25">
      <c r="A4" s="15" t="s">
        <v>59</v>
      </c>
      <c r="B4" s="19" t="s">
        <v>15</v>
      </c>
      <c r="C4" s="19" t="s">
        <v>15</v>
      </c>
      <c r="D4" s="19" t="s">
        <v>15</v>
      </c>
      <c r="E4" s="19" t="s">
        <v>15</v>
      </c>
      <c r="F4" s="19" t="s">
        <v>15</v>
      </c>
      <c r="G4" s="19" t="s">
        <v>15</v>
      </c>
      <c r="H4" s="19" t="s">
        <v>15</v>
      </c>
      <c r="I4" s="19">
        <v>14.9</v>
      </c>
      <c r="J4" s="19">
        <v>-17.100000000000001</v>
      </c>
      <c r="K4" s="19">
        <v>-6.8</v>
      </c>
      <c r="L4" s="19">
        <v>20.100000000000001</v>
      </c>
    </row>
    <row r="5" spans="1:16" x14ac:dyDescent="0.25">
      <c r="A5" s="15" t="s">
        <v>60</v>
      </c>
      <c r="B5" s="19">
        <v>41.8</v>
      </c>
      <c r="C5" s="19">
        <v>83</v>
      </c>
      <c r="D5" s="19">
        <v>158.6</v>
      </c>
      <c r="E5" s="19">
        <v>316.8</v>
      </c>
      <c r="F5" s="19">
        <v>311.10000000000002</v>
      </c>
      <c r="G5" s="19">
        <v>459.5</v>
      </c>
      <c r="H5" s="19">
        <v>457.4</v>
      </c>
      <c r="I5" s="19">
        <v>450.6</v>
      </c>
      <c r="J5" s="19">
        <v>408.2</v>
      </c>
      <c r="K5" s="19">
        <v>512.20000000000005</v>
      </c>
      <c r="L5" s="19">
        <v>460.2</v>
      </c>
    </row>
    <row r="6" spans="1:16" x14ac:dyDescent="0.25">
      <c r="A6" s="17" t="s">
        <v>55</v>
      </c>
      <c r="B6" s="19">
        <v>17</v>
      </c>
      <c r="C6" s="19">
        <v>46.4</v>
      </c>
      <c r="D6" s="19">
        <v>123.2</v>
      </c>
      <c r="E6" s="19">
        <v>190.1</v>
      </c>
      <c r="F6" s="19">
        <v>190</v>
      </c>
      <c r="G6" s="19">
        <v>309.60000000000002</v>
      </c>
      <c r="H6" s="19">
        <v>318.8</v>
      </c>
      <c r="I6" s="19">
        <v>287.5</v>
      </c>
      <c r="J6" s="19">
        <v>223</v>
      </c>
      <c r="K6" s="19">
        <v>396.6</v>
      </c>
      <c r="L6" s="19">
        <v>346.4</v>
      </c>
    </row>
    <row r="7" spans="1:16" x14ac:dyDescent="0.25">
      <c r="A7" s="15" t="s">
        <v>56</v>
      </c>
      <c r="B7" s="19">
        <v>12</v>
      </c>
      <c r="C7" s="19">
        <v>38.6</v>
      </c>
      <c r="D7" s="19">
        <v>111.6</v>
      </c>
      <c r="E7" s="19">
        <v>166.6</v>
      </c>
      <c r="F7" s="19">
        <v>167.5</v>
      </c>
      <c r="G7" s="19">
        <v>277.3</v>
      </c>
      <c r="H7" s="19">
        <v>257.3</v>
      </c>
      <c r="I7" s="19">
        <v>200.9</v>
      </c>
      <c r="J7" s="19">
        <v>128.69999999999999</v>
      </c>
      <c r="K7" s="19">
        <v>328.3</v>
      </c>
      <c r="L7" s="19">
        <v>287.2</v>
      </c>
    </row>
    <row r="8" spans="1:16" x14ac:dyDescent="0.25">
      <c r="A8" s="17" t="s">
        <v>61</v>
      </c>
      <c r="B8" s="19">
        <v>1.3</v>
      </c>
      <c r="C8" s="19">
        <v>19.5</v>
      </c>
      <c r="D8" s="19">
        <v>83.2</v>
      </c>
      <c r="E8" s="19">
        <v>135.5</v>
      </c>
      <c r="F8" s="19">
        <v>152</v>
      </c>
      <c r="G8" s="19">
        <v>226.3</v>
      </c>
      <c r="H8" s="19">
        <v>206.7</v>
      </c>
      <c r="I8" s="19">
        <v>111.6</v>
      </c>
      <c r="J8" s="19">
        <v>-98.3</v>
      </c>
      <c r="K8" s="19">
        <v>106.9</v>
      </c>
      <c r="L8" s="19">
        <v>225.2</v>
      </c>
    </row>
    <row r="9" spans="1:16" x14ac:dyDescent="0.25">
      <c r="A9" s="15" t="s">
        <v>62</v>
      </c>
      <c r="B9" s="18">
        <v>0.19400000000000001</v>
      </c>
      <c r="C9" s="18">
        <v>0.23699999999999999</v>
      </c>
      <c r="D9" s="18">
        <v>0.23899999999999999</v>
      </c>
      <c r="E9" s="18">
        <v>0.30299999999999999</v>
      </c>
      <c r="F9" s="18">
        <v>0.30499999999999999</v>
      </c>
      <c r="G9" s="18">
        <v>0.24199999999999999</v>
      </c>
      <c r="H9" s="18">
        <v>0.221</v>
      </c>
      <c r="I9" s="18">
        <v>0.161</v>
      </c>
      <c r="J9" s="18">
        <v>0.17100000000000001</v>
      </c>
      <c r="K9" s="18">
        <v>0.22</v>
      </c>
      <c r="L9" s="18">
        <v>0.23100000000000001</v>
      </c>
    </row>
    <row r="10" spans="1:16" x14ac:dyDescent="0.25">
      <c r="A10" s="15" t="s">
        <v>26</v>
      </c>
      <c r="B10" s="18">
        <v>7.9000000000000001E-2</v>
      </c>
      <c r="C10" s="18">
        <v>0.13200000000000001</v>
      </c>
      <c r="D10" s="18">
        <v>0.186</v>
      </c>
      <c r="E10" s="18">
        <v>0.182</v>
      </c>
      <c r="F10" s="18">
        <v>0.186</v>
      </c>
      <c r="G10" s="18">
        <v>0.16300000000000001</v>
      </c>
      <c r="H10" s="18">
        <v>0.154</v>
      </c>
      <c r="I10" s="18">
        <v>0.10299999999999999</v>
      </c>
      <c r="J10" s="18">
        <v>9.2999999999999999E-2</v>
      </c>
      <c r="K10" s="18">
        <v>0.17</v>
      </c>
      <c r="L10" s="18">
        <v>0.17399999999999999</v>
      </c>
    </row>
    <row r="11" spans="1:16" x14ac:dyDescent="0.25">
      <c r="A11" s="15" t="s">
        <v>27</v>
      </c>
      <c r="B11" s="18">
        <v>6.0000000000000001E-3</v>
      </c>
      <c r="C11" s="18">
        <v>5.6000000000000001E-2</v>
      </c>
      <c r="D11" s="18">
        <v>0.126</v>
      </c>
      <c r="E11" s="18">
        <v>0.129</v>
      </c>
      <c r="F11" s="18">
        <v>0.14899999999999999</v>
      </c>
      <c r="G11" s="18">
        <v>0.11899999999999999</v>
      </c>
      <c r="H11" s="18">
        <v>0.1</v>
      </c>
      <c r="I11" s="18">
        <v>0.04</v>
      </c>
      <c r="J11" s="18">
        <v>-4.1000000000000002E-2</v>
      </c>
      <c r="K11" s="18">
        <v>4.5999999999999999E-2</v>
      </c>
      <c r="L11" s="18">
        <v>0.113</v>
      </c>
    </row>
    <row r="12" spans="1:16" x14ac:dyDescent="0.25">
      <c r="A12" s="15" t="s">
        <v>57</v>
      </c>
      <c r="B12" s="19" t="s">
        <v>15</v>
      </c>
      <c r="C12" s="19" t="s">
        <v>15</v>
      </c>
      <c r="D12">
        <v>2.08</v>
      </c>
      <c r="E12">
        <v>1.97</v>
      </c>
      <c r="F12">
        <v>2.2000000000000002</v>
      </c>
      <c r="G12">
        <v>3.03</v>
      </c>
      <c r="H12">
        <v>2.61</v>
      </c>
      <c r="I12">
        <v>1.4</v>
      </c>
      <c r="J12">
        <v>-1.23</v>
      </c>
      <c r="K12">
        <v>1.34</v>
      </c>
      <c r="L12">
        <v>2.83</v>
      </c>
      <c r="N12" s="29">
        <f>AVERAGE(F12:L12)</f>
        <v>1.74</v>
      </c>
      <c r="O12" s="29">
        <f>STDEV(F12:L12)</f>
        <v>1.4672650294567327</v>
      </c>
      <c r="P12" s="28">
        <f>O12/N12</f>
        <v>0.84325576405559344</v>
      </c>
    </row>
    <row r="13" spans="1:16" ht="13.8" x14ac:dyDescent="0.25">
      <c r="A13" s="14" t="s">
        <v>1</v>
      </c>
      <c r="I13">
        <f>MAX(0,0.25/I12)</f>
        <v>0.17857142857142858</v>
      </c>
      <c r="J13">
        <f>MAX(0,0.25/J12)</f>
        <v>0</v>
      </c>
      <c r="K13">
        <f>MAX(0,0.25/K12)</f>
        <v>0.18656716417910446</v>
      </c>
      <c r="L13">
        <f>MAX(0,0.25/L12)</f>
        <v>8.8339222614840993E-2</v>
      </c>
      <c r="N13" s="29">
        <f>AVERAGE(F13:L13)</f>
        <v>0.11336945384134352</v>
      </c>
      <c r="O13" s="29">
        <f>STDEV(F13:L13)</f>
        <v>8.7727509647639604E-2</v>
      </c>
      <c r="P13" s="28">
        <f>O13/N13</f>
        <v>0.77381963725794345</v>
      </c>
    </row>
    <row r="14" spans="1:16" x14ac:dyDescent="0.25">
      <c r="A14" s="15" t="s">
        <v>63</v>
      </c>
      <c r="B14" s="31" t="s">
        <v>3</v>
      </c>
      <c r="C14" s="31" t="s">
        <v>4</v>
      </c>
      <c r="D14" s="31" t="s">
        <v>5</v>
      </c>
      <c r="E14" s="31" t="s">
        <v>6</v>
      </c>
      <c r="F14" s="31" t="s">
        <v>7</v>
      </c>
      <c r="G14" s="31" t="s">
        <v>8</v>
      </c>
      <c r="H14" s="31" t="s">
        <v>9</v>
      </c>
      <c r="I14" s="31" t="s">
        <v>10</v>
      </c>
      <c r="J14" s="31" t="s">
        <v>11</v>
      </c>
      <c r="K14" s="31" t="s">
        <v>12</v>
      </c>
      <c r="L14" s="31" t="s">
        <v>13</v>
      </c>
    </row>
    <row r="15" spans="1:16" x14ac:dyDescent="0.25">
      <c r="A15" s="17" t="s">
        <v>64</v>
      </c>
      <c r="B15" s="19">
        <v>16.600000000000001</v>
      </c>
      <c r="C15" s="19">
        <v>45.4</v>
      </c>
      <c r="D15" s="19">
        <v>116.1</v>
      </c>
      <c r="E15" s="19">
        <v>188.2</v>
      </c>
      <c r="F15" s="19">
        <v>205.7</v>
      </c>
      <c r="G15" s="19">
        <v>275.2</v>
      </c>
      <c r="H15" s="19">
        <v>291.39999999999998</v>
      </c>
      <c r="I15" s="19">
        <v>288</v>
      </c>
      <c r="J15" s="19">
        <v>195.5</v>
      </c>
      <c r="K15" s="19">
        <v>338.7</v>
      </c>
      <c r="L15" s="19">
        <v>330.5</v>
      </c>
    </row>
    <row r="16" spans="1:16" x14ac:dyDescent="0.25">
      <c r="A16" s="15" t="s">
        <v>65</v>
      </c>
      <c r="B16" s="19">
        <v>-35.799999999999997</v>
      </c>
      <c r="C16" s="19">
        <v>-14.7</v>
      </c>
      <c r="D16" s="19">
        <v>-210.3</v>
      </c>
      <c r="E16" s="19">
        <v>-25</v>
      </c>
      <c r="F16" s="19">
        <v>-97.4</v>
      </c>
      <c r="G16" s="19">
        <v>-180.1</v>
      </c>
      <c r="H16" s="19">
        <v>-242.1</v>
      </c>
      <c r="I16" s="19">
        <v>135.4</v>
      </c>
      <c r="J16" s="19">
        <v>-0.9</v>
      </c>
      <c r="K16" s="19">
        <v>147.4</v>
      </c>
      <c r="L16" s="19">
        <v>-136.30000000000001</v>
      </c>
    </row>
    <row r="17" spans="1:12" x14ac:dyDescent="0.25">
      <c r="A17" s="17" t="s">
        <v>66</v>
      </c>
      <c r="B17" s="19">
        <v>-19.3</v>
      </c>
      <c r="C17" s="19">
        <v>30.7</v>
      </c>
      <c r="D17" s="19">
        <v>-94.1</v>
      </c>
      <c r="E17" s="19">
        <v>163.19999999999999</v>
      </c>
      <c r="F17" s="19">
        <v>108.4</v>
      </c>
      <c r="G17" s="19">
        <v>95.1</v>
      </c>
      <c r="H17" s="19">
        <v>49.3</v>
      </c>
      <c r="I17" s="19">
        <v>423.5</v>
      </c>
      <c r="J17" s="19">
        <v>194.7</v>
      </c>
      <c r="K17" s="19">
        <v>486.1</v>
      </c>
      <c r="L17" s="19">
        <v>194.1</v>
      </c>
    </row>
    <row r="18" spans="1:12" x14ac:dyDescent="0.25">
      <c r="A18" s="15" t="s">
        <v>67</v>
      </c>
      <c r="B18" s="19">
        <v>-9.4</v>
      </c>
      <c r="C18" s="19">
        <v>-18.399999999999999</v>
      </c>
      <c r="D18" s="19">
        <v>-28.1</v>
      </c>
      <c r="E18" s="19">
        <v>-32.200000000000003</v>
      </c>
      <c r="F18" s="19">
        <v>-22.8</v>
      </c>
      <c r="G18" s="19">
        <v>-36</v>
      </c>
      <c r="H18" s="19">
        <v>-66.8</v>
      </c>
      <c r="I18" s="19">
        <v>-76.2</v>
      </c>
      <c r="J18" s="19">
        <v>-72</v>
      </c>
      <c r="K18" s="19">
        <v>-68.400000000000006</v>
      </c>
      <c r="L18" s="19">
        <v>-57.6</v>
      </c>
    </row>
    <row r="19" spans="1:12" x14ac:dyDescent="0.25">
      <c r="A19" s="15" t="s">
        <v>30</v>
      </c>
      <c r="B19" s="19">
        <v>-0.4</v>
      </c>
      <c r="C19" s="19">
        <v>-0.7</v>
      </c>
      <c r="D19" s="19">
        <v>-3.4</v>
      </c>
      <c r="E19" s="19">
        <v>-1.7</v>
      </c>
      <c r="F19" s="19">
        <v>-0.8</v>
      </c>
      <c r="G19" s="19">
        <v>-3</v>
      </c>
      <c r="H19" s="19">
        <v>-6.5</v>
      </c>
      <c r="I19" s="19">
        <v>-43.4</v>
      </c>
      <c r="J19" s="19">
        <v>-40.200000000000003</v>
      </c>
      <c r="K19" s="19">
        <v>-13</v>
      </c>
      <c r="L19" s="19">
        <v>-2.8</v>
      </c>
    </row>
    <row r="20" spans="1:12" x14ac:dyDescent="0.25">
      <c r="A20" s="17" t="s">
        <v>68</v>
      </c>
      <c r="B20" s="19">
        <v>-29</v>
      </c>
      <c r="C20" s="19">
        <v>11.6</v>
      </c>
      <c r="D20" s="19">
        <v>-125.6</v>
      </c>
      <c r="E20" s="19">
        <v>129.30000000000001</v>
      </c>
      <c r="F20" s="19">
        <v>84.8</v>
      </c>
      <c r="G20" s="19">
        <v>56.1</v>
      </c>
      <c r="H20" s="19">
        <v>-24</v>
      </c>
      <c r="I20" s="19">
        <v>303.89999999999998</v>
      </c>
      <c r="J20" s="19">
        <v>82.5</v>
      </c>
      <c r="K20" s="19">
        <v>404.7</v>
      </c>
      <c r="L20" s="19">
        <v>133.69999999999999</v>
      </c>
    </row>
    <row r="21" spans="1:12" x14ac:dyDescent="0.25">
      <c r="A21" s="15" t="s">
        <v>69</v>
      </c>
      <c r="B21" s="19">
        <v>-6</v>
      </c>
      <c r="C21" s="19">
        <v>2.2000000000000002</v>
      </c>
      <c r="D21" s="19">
        <v>-24.4</v>
      </c>
      <c r="E21" s="19">
        <v>-88.6</v>
      </c>
      <c r="F21" s="19">
        <v>-56.2</v>
      </c>
      <c r="G21" s="19">
        <v>-48.1</v>
      </c>
      <c r="H21" s="19">
        <v>-93.1</v>
      </c>
      <c r="I21" s="19">
        <v>-90.9</v>
      </c>
      <c r="J21" s="19">
        <v>-41.7</v>
      </c>
      <c r="K21" s="19">
        <v>-22.7</v>
      </c>
      <c r="L21" s="19">
        <v>-30.4</v>
      </c>
    </row>
    <row r="22" spans="1:12" x14ac:dyDescent="0.25">
      <c r="A22" s="15" t="s">
        <v>70</v>
      </c>
      <c r="B22" s="19">
        <v>0.6</v>
      </c>
      <c r="C22" s="19">
        <v>0.3</v>
      </c>
      <c r="D22" s="19">
        <v>-48.5</v>
      </c>
      <c r="E22" s="19">
        <v>-1.2</v>
      </c>
      <c r="F22" s="19">
        <v>0.8</v>
      </c>
      <c r="G22" s="19">
        <v>-66.5</v>
      </c>
      <c r="H22" s="19">
        <v>-1.6</v>
      </c>
      <c r="I22" s="19">
        <v>-23.1</v>
      </c>
      <c r="J22" s="19">
        <v>-0.5</v>
      </c>
      <c r="K22" s="19">
        <v>-4.0999999999999996</v>
      </c>
      <c r="L22" s="19">
        <v>-0.5</v>
      </c>
    </row>
    <row r="23" spans="1:12" x14ac:dyDescent="0.25">
      <c r="A23" s="15" t="s">
        <v>71</v>
      </c>
      <c r="B23" s="19" t="s">
        <v>15</v>
      </c>
      <c r="C23" s="19">
        <v>-59.7</v>
      </c>
      <c r="D23" s="19">
        <v>-97.2</v>
      </c>
      <c r="E23" s="19">
        <v>-5.5</v>
      </c>
      <c r="F23" s="19">
        <v>-70.2</v>
      </c>
      <c r="G23" s="19">
        <v>-11.5</v>
      </c>
      <c r="H23" s="19">
        <v>-134.5</v>
      </c>
      <c r="I23" s="19">
        <v>-152.1</v>
      </c>
      <c r="J23" s="19">
        <v>-41</v>
      </c>
      <c r="K23" s="19">
        <v>2.5</v>
      </c>
      <c r="L23" s="19">
        <v>-29.9</v>
      </c>
    </row>
    <row r="24" spans="1:12" x14ac:dyDescent="0.25">
      <c r="A24" s="17" t="s">
        <v>72</v>
      </c>
      <c r="B24" s="19">
        <v>-5.4</v>
      </c>
      <c r="C24" s="19">
        <v>-57.2</v>
      </c>
      <c r="D24" s="19">
        <v>-170.1</v>
      </c>
      <c r="E24" s="19">
        <v>-95.3</v>
      </c>
      <c r="F24" s="19">
        <v>-125.6</v>
      </c>
      <c r="G24" s="19">
        <v>-126.1</v>
      </c>
      <c r="H24" s="19">
        <v>-229.2</v>
      </c>
      <c r="I24" s="19">
        <v>-266.10000000000002</v>
      </c>
      <c r="J24" s="19">
        <v>-83.2</v>
      </c>
      <c r="K24" s="19">
        <v>-24.3</v>
      </c>
      <c r="L24" s="19">
        <v>-60.7</v>
      </c>
    </row>
    <row r="25" spans="1:12" x14ac:dyDescent="0.25">
      <c r="A25" s="17" t="s">
        <v>73</v>
      </c>
      <c r="B25" s="19">
        <v>-34.4</v>
      </c>
      <c r="C25" s="19">
        <v>-45.7</v>
      </c>
      <c r="D25" s="19">
        <v>-295.7</v>
      </c>
      <c r="E25" s="19">
        <v>34</v>
      </c>
      <c r="F25" s="19">
        <v>-40.9</v>
      </c>
      <c r="G25" s="19">
        <v>-69.900000000000006</v>
      </c>
      <c r="H25" s="19">
        <v>-253.2</v>
      </c>
      <c r="I25" s="19">
        <v>37.799999999999997</v>
      </c>
      <c r="J25" s="19">
        <v>-0.7</v>
      </c>
      <c r="K25" s="19">
        <v>380.4</v>
      </c>
      <c r="L25" s="19">
        <v>73</v>
      </c>
    </row>
    <row r="27" spans="1:12" x14ac:dyDescent="0.25">
      <c r="A27" s="26" t="s">
        <v>136</v>
      </c>
      <c r="B27" s="26"/>
      <c r="C27" s="27">
        <f>-2*C18/('Balance sheet'!C22+'Balance sheet'!B22)</f>
        <v>0.14580031695721077</v>
      </c>
      <c r="D27" s="27">
        <f>-2*D18/('Balance sheet'!D22+'Balance sheet'!C22)</f>
        <v>0.13477218225419665</v>
      </c>
      <c r="E27" s="27">
        <f>-2*E18/('Balance sheet'!E22+'Balance sheet'!D22)</f>
        <v>0.11535017015941253</v>
      </c>
      <c r="F27" s="27">
        <f>-2*F18/('Balance sheet'!F22+'Balance sheet'!E22)</f>
        <v>7.0164640713955992E-2</v>
      </c>
      <c r="G27" s="27">
        <f>-2*G18/('Balance sheet'!G22+'Balance sheet'!F22)</f>
        <v>9.255688391824142E-2</v>
      </c>
      <c r="H27" s="27">
        <f>-2*H18/('Balance sheet'!H22+'Balance sheet'!G22)</f>
        <v>0.11867116717001243</v>
      </c>
      <c r="I27" s="27">
        <f>-2*I18/('Balance sheet'!I22+'Balance sheet'!H22)</f>
        <v>0.10640971931294514</v>
      </c>
      <c r="J27" s="27">
        <f>-2*J18/('Balance sheet'!J22+'Balance sheet'!I22)</f>
        <v>9.7080833277152292E-2</v>
      </c>
      <c r="K27" s="27">
        <f>-2*K18/('Balance sheet'!K22+'Balance sheet'!J22)</f>
        <v>0.11232449297971919</v>
      </c>
      <c r="L27" s="27">
        <f>-2*L18/('Balance sheet'!L22+'Balance sheet'!K22)</f>
        <v>0.14194184327254805</v>
      </c>
    </row>
    <row r="29" spans="1:12" x14ac:dyDescent="0.25">
      <c r="A29" t="s">
        <v>27</v>
      </c>
      <c r="B29" s="28">
        <f>B8/B3</f>
        <v>6.0408921933085506E-3</v>
      </c>
      <c r="C29" s="28">
        <f t="shared" ref="C29:L29" si="0">C8/C3</f>
        <v>5.565068493150685E-2</v>
      </c>
      <c r="D29" s="28">
        <f t="shared" si="0"/>
        <v>0.12547127130146282</v>
      </c>
      <c r="E29" s="28">
        <f t="shared" si="0"/>
        <v>0.12940502339795626</v>
      </c>
      <c r="F29" s="28">
        <f t="shared" si="0"/>
        <v>0.14894659480646741</v>
      </c>
      <c r="G29" s="28">
        <f t="shared" si="0"/>
        <v>0.11916170817755781</v>
      </c>
      <c r="H29" s="28">
        <f t="shared" si="0"/>
        <v>9.9768317405154919E-2</v>
      </c>
      <c r="I29" s="28">
        <f t="shared" si="0"/>
        <v>3.9902745995423337E-2</v>
      </c>
      <c r="J29" s="28">
        <f t="shared" si="0"/>
        <v>-4.1072995445619015E-2</v>
      </c>
      <c r="K29" s="28">
        <f t="shared" si="0"/>
        <v>4.5889675896115048E-2</v>
      </c>
      <c r="L29" s="28">
        <f t="shared" si="0"/>
        <v>0.11325119436761377</v>
      </c>
    </row>
    <row r="30" spans="1:12" x14ac:dyDescent="0.25">
      <c r="A30" t="s">
        <v>137</v>
      </c>
      <c r="C30" s="19">
        <f>2*C3/('Balance sheet'!C12+'Balance sheet'!B12)</f>
        <v>1.6263634253887211</v>
      </c>
      <c r="D30" s="19">
        <f>2*D3/('Balance sheet'!D12+'Balance sheet'!C12)</f>
        <v>1.2866983603376345</v>
      </c>
      <c r="E30" s="19">
        <f>2*E3/('Balance sheet'!E12+'Balance sheet'!D12)</f>
        <v>1.4390160104445815</v>
      </c>
      <c r="F30" s="19">
        <f>2*F3/('Balance sheet'!F12+'Balance sheet'!E12)</f>
        <v>1.1186626473006303</v>
      </c>
      <c r="G30" s="19">
        <f>2*G3/('Balance sheet'!G12+'Balance sheet'!F12)</f>
        <v>1.4080966856973383</v>
      </c>
      <c r="H30" s="19">
        <f>2*H3/('Balance sheet'!H12+'Balance sheet'!G12)</f>
        <v>1.1232312279750611</v>
      </c>
      <c r="I30" s="19">
        <f>2*I3/('Balance sheet'!I12+'Balance sheet'!H12)</f>
        <v>1.2491290754801252</v>
      </c>
      <c r="J30" s="19">
        <f>2*J3/('Balance sheet'!J12+'Balance sheet'!I12)</f>
        <v>1.1182077278886138</v>
      </c>
      <c r="K30" s="19">
        <f>2*K3/('Balance sheet'!K12+'Balance sheet'!J12)</f>
        <v>1.3765289842226556</v>
      </c>
      <c r="L30" s="19">
        <f>2*L3/('Balance sheet'!L12+'Balance sheet'!K12)</f>
        <v>1.3368067226890756</v>
      </c>
    </row>
    <row r="31" spans="1:12" x14ac:dyDescent="0.25">
      <c r="A31" t="s">
        <v>138</v>
      </c>
      <c r="C31" s="29">
        <f>('Balance sheet'!C12+'Balance sheet'!B12)/('Balance sheet'!C19+'Balance sheet'!B19)</f>
        <v>3.2422874341610233</v>
      </c>
      <c r="D31" s="29">
        <f>('Balance sheet'!D12+'Balance sheet'!C12)/('Balance sheet'!D19+'Balance sheet'!C19)</f>
        <v>1.9606239299980981</v>
      </c>
      <c r="E31" s="29">
        <f>('Balance sheet'!E12+'Balance sheet'!D12)/('Balance sheet'!E19+'Balance sheet'!D19)</f>
        <v>1.823912771023938</v>
      </c>
      <c r="F31" s="29">
        <f>('Balance sheet'!F12+'Balance sheet'!E12)/('Balance sheet'!F19+'Balance sheet'!E19)</f>
        <v>1.8957813798836243</v>
      </c>
      <c r="G31" s="29">
        <f>('Balance sheet'!G12+'Balance sheet'!F12)/('Balance sheet'!G19+'Balance sheet'!F19)</f>
        <v>1.6835601048558233</v>
      </c>
      <c r="H31" s="29">
        <f>('Balance sheet'!H12+'Balance sheet'!G12)/('Balance sheet'!H19+'Balance sheet'!G19)</f>
        <v>1.6707427536231885</v>
      </c>
      <c r="I31" s="29">
        <f>('Balance sheet'!I12+'Balance sheet'!H12)/('Balance sheet'!I19+'Balance sheet'!H19)</f>
        <v>1.7471712836519704</v>
      </c>
      <c r="J31" s="29">
        <f>('Balance sheet'!J12+'Balance sheet'!I12)/('Balance sheet'!J19+'Balance sheet'!I19)</f>
        <v>1.7963071758287874</v>
      </c>
      <c r="K31" s="29">
        <f>('Balance sheet'!K12+'Balance sheet'!J12)/('Balance sheet'!K19+'Balance sheet'!J19)</f>
        <v>1.7614363778298203</v>
      </c>
      <c r="L31" s="29">
        <f>('Balance sheet'!L12+'Balance sheet'!K12)/('Balance sheet'!L19+'Balance sheet'!K19)</f>
        <v>1.5758249907304411</v>
      </c>
    </row>
    <row r="32" spans="1:12" ht="3.6" customHeight="1" x14ac:dyDescent="0.25"/>
    <row r="33" spans="1:14" x14ac:dyDescent="0.25">
      <c r="A33" t="s">
        <v>139</v>
      </c>
      <c r="C33" s="28">
        <f>C29*C30*C31</f>
        <v>0.2934537246049661</v>
      </c>
      <c r="D33" s="28">
        <f t="shared" ref="D33:L33" si="1">D29*D30*D31</f>
        <v>0.31653034049838313</v>
      </c>
      <c r="E33" s="28">
        <f t="shared" si="1"/>
        <v>0.33964155909261806</v>
      </c>
      <c r="F33" s="28">
        <f t="shared" si="1"/>
        <v>0.3158769742310889</v>
      </c>
      <c r="G33" s="28">
        <f t="shared" si="1"/>
        <v>0.28248658095119217</v>
      </c>
      <c r="H33" s="28">
        <f t="shared" si="1"/>
        <v>0.18722826086956523</v>
      </c>
      <c r="I33" s="28">
        <f t="shared" si="1"/>
        <v>8.7085446742099115E-2</v>
      </c>
      <c r="J33" s="28">
        <f t="shared" si="1"/>
        <v>-8.2501049097775919E-2</v>
      </c>
      <c r="K33" s="28">
        <f t="shared" si="1"/>
        <v>0.11126723913609159</v>
      </c>
      <c r="L33" s="28">
        <f t="shared" si="1"/>
        <v>0.23857195826050107</v>
      </c>
      <c r="N33" s="28">
        <f t="array" ref="N33">PRODUCT(1+H33:L33)^(1/COUNT(H33:L33))-1</f>
        <v>0.10262706315333392</v>
      </c>
    </row>
    <row r="34" spans="1:14" x14ac:dyDescent="0.25">
      <c r="L34" s="30" t="s">
        <v>156</v>
      </c>
      <c r="M34" s="30"/>
      <c r="N34" s="47">
        <f t="array" ref="N34">PRODUCT(1+I33:L33)^(1/COUNT(I33:L33))-1</f>
        <v>8.2436063282198102E-2</v>
      </c>
    </row>
    <row r="35" spans="1:14" x14ac:dyDescent="0.25">
      <c r="A35" t="s">
        <v>154</v>
      </c>
      <c r="D35">
        <v>0.8</v>
      </c>
      <c r="E35">
        <v>2.2999999999999998</v>
      </c>
      <c r="F35">
        <v>2.2000000000000002</v>
      </c>
      <c r="G35">
        <v>1.8</v>
      </c>
      <c r="H35">
        <v>2.1</v>
      </c>
      <c r="L35" s="30" t="s">
        <v>157</v>
      </c>
      <c r="M35" s="30"/>
      <c r="N35" s="47">
        <f>N13</f>
        <v>0.11336945384134352</v>
      </c>
    </row>
    <row r="36" spans="1:14" x14ac:dyDescent="0.25">
      <c r="L36" s="30" t="s">
        <v>155</v>
      </c>
      <c r="M36" s="30"/>
      <c r="N36" s="47">
        <f>N34*(1-N35)</f>
        <v>7.3090331811064863E-2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0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O2" sqref="O2"/>
    </sheetView>
  </sheetViews>
  <sheetFormatPr defaultRowHeight="13.2" outlineLevelRow="1" x14ac:dyDescent="0.25"/>
  <cols>
    <col min="1" max="1" width="28.33203125" bestFit="1" customWidth="1"/>
  </cols>
  <sheetData>
    <row r="1" spans="1:16" ht="21" x14ac:dyDescent="0.4">
      <c r="A1" s="39" t="s">
        <v>143</v>
      </c>
      <c r="B1" s="32" t="s">
        <v>3</v>
      </c>
      <c r="C1" s="32" t="s">
        <v>4</v>
      </c>
      <c r="D1" s="32" t="s">
        <v>5</v>
      </c>
      <c r="E1" s="32" t="s">
        <v>6</v>
      </c>
      <c r="F1" s="32" t="s">
        <v>7</v>
      </c>
      <c r="G1" s="32" t="s">
        <v>8</v>
      </c>
      <c r="H1" s="32" t="s">
        <v>9</v>
      </c>
      <c r="I1" s="32" t="s">
        <v>10</v>
      </c>
      <c r="J1" s="32" t="s">
        <v>11</v>
      </c>
      <c r="K1" s="32" t="s">
        <v>12</v>
      </c>
      <c r="L1" s="32" t="s">
        <v>13</v>
      </c>
      <c r="M1" s="32" t="s">
        <v>148</v>
      </c>
      <c r="N1" s="32" t="s">
        <v>224</v>
      </c>
      <c r="O1" s="32" t="s">
        <v>386</v>
      </c>
    </row>
    <row r="2" spans="1:16" x14ac:dyDescent="0.25">
      <c r="A2" t="s">
        <v>144</v>
      </c>
      <c r="G2">
        <v>9</v>
      </c>
      <c r="H2">
        <v>28</v>
      </c>
      <c r="I2">
        <v>57</v>
      </c>
      <c r="J2">
        <v>161.6</v>
      </c>
      <c r="K2">
        <v>184.2</v>
      </c>
      <c r="L2">
        <v>160.69999999999999</v>
      </c>
      <c r="M2">
        <v>138.19999999999999</v>
      </c>
      <c r="N2" s="313">
        <f t="shared" ref="N2:N7" si="0">AVERAGE(L2:M2)</f>
        <v>149.44999999999999</v>
      </c>
      <c r="O2" s="313">
        <f t="shared" ref="O2:O7" si="1">N2*615/385</f>
        <v>238.73181818181817</v>
      </c>
    </row>
    <row r="3" spans="1:16" x14ac:dyDescent="0.25">
      <c r="A3" t="s">
        <v>145</v>
      </c>
      <c r="G3">
        <v>22</v>
      </c>
      <c r="H3">
        <v>53</v>
      </c>
      <c r="I3">
        <v>60</v>
      </c>
      <c r="J3">
        <v>33.6</v>
      </c>
      <c r="K3">
        <v>30.7</v>
      </c>
      <c r="L3">
        <v>72.5</v>
      </c>
      <c r="M3">
        <v>82.4</v>
      </c>
      <c r="N3" s="313">
        <f t="shared" si="0"/>
        <v>77.45</v>
      </c>
      <c r="O3" s="313">
        <f t="shared" si="1"/>
        <v>123.71883116883117</v>
      </c>
    </row>
    <row r="4" spans="1:16" x14ac:dyDescent="0.25">
      <c r="A4" t="s">
        <v>146</v>
      </c>
      <c r="G4">
        <v>17</v>
      </c>
      <c r="H4">
        <v>28</v>
      </c>
      <c r="I4">
        <v>38</v>
      </c>
      <c r="J4">
        <v>102.8</v>
      </c>
      <c r="K4">
        <v>69.5</v>
      </c>
      <c r="L4">
        <v>62</v>
      </c>
      <c r="M4">
        <v>81.400000000000006</v>
      </c>
      <c r="N4" s="313">
        <f t="shared" si="0"/>
        <v>71.7</v>
      </c>
      <c r="O4" s="313">
        <f t="shared" si="1"/>
        <v>114.53376623376623</v>
      </c>
    </row>
    <row r="5" spans="1:16" x14ac:dyDescent="0.25">
      <c r="A5" t="s">
        <v>147</v>
      </c>
      <c r="G5">
        <v>18</v>
      </c>
      <c r="H5">
        <v>29</v>
      </c>
      <c r="I5">
        <v>54</v>
      </c>
      <c r="J5">
        <v>61.2</v>
      </c>
      <c r="K5">
        <v>66.5</v>
      </c>
      <c r="L5">
        <v>66.900000000000006</v>
      </c>
      <c r="M5">
        <v>58.2</v>
      </c>
      <c r="N5" s="313">
        <f t="shared" si="0"/>
        <v>62.550000000000004</v>
      </c>
      <c r="O5" s="313">
        <f t="shared" si="1"/>
        <v>99.917532467532467</v>
      </c>
    </row>
    <row r="6" spans="1:16" x14ac:dyDescent="0.25">
      <c r="A6" t="s">
        <v>185</v>
      </c>
      <c r="J6">
        <v>5.2</v>
      </c>
      <c r="K6">
        <v>0</v>
      </c>
      <c r="L6">
        <v>9.6</v>
      </c>
      <c r="M6">
        <v>2.6</v>
      </c>
      <c r="N6" s="313">
        <f t="shared" si="0"/>
        <v>6.1</v>
      </c>
      <c r="O6" s="313">
        <f t="shared" si="1"/>
        <v>9.7441558441558449</v>
      </c>
    </row>
    <row r="7" spans="1:16" x14ac:dyDescent="0.25">
      <c r="A7" t="s">
        <v>150</v>
      </c>
      <c r="G7">
        <v>19</v>
      </c>
      <c r="H7">
        <v>45</v>
      </c>
      <c r="I7">
        <v>38</v>
      </c>
      <c r="J7">
        <v>22.7</v>
      </c>
      <c r="K7">
        <v>21.7</v>
      </c>
      <c r="L7">
        <v>14.5</v>
      </c>
      <c r="M7">
        <v>18.5</v>
      </c>
      <c r="N7" s="313">
        <f t="shared" si="0"/>
        <v>16.5</v>
      </c>
      <c r="O7" s="313">
        <f t="shared" si="1"/>
        <v>26.357142857142858</v>
      </c>
    </row>
    <row r="8" spans="1:16" x14ac:dyDescent="0.25">
      <c r="G8" s="84">
        <f>SUM(G2:G6)</f>
        <v>66</v>
      </c>
      <c r="H8" s="84">
        <f t="shared" ref="H8:N8" si="2">SUM(H2:H6)</f>
        <v>138</v>
      </c>
      <c r="I8" s="84">
        <f t="shared" si="2"/>
        <v>209</v>
      </c>
      <c r="J8" s="84">
        <f t="shared" si="2"/>
        <v>364.4</v>
      </c>
      <c r="K8" s="84">
        <f t="shared" si="2"/>
        <v>350.9</v>
      </c>
      <c r="L8" s="84">
        <f t="shared" si="2"/>
        <v>371.70000000000005</v>
      </c>
      <c r="M8" s="84">
        <f t="shared" si="2"/>
        <v>362.8</v>
      </c>
      <c r="N8" s="84">
        <f t="shared" si="2"/>
        <v>367.25</v>
      </c>
      <c r="O8" s="84">
        <f>SUM(O2:O6)</f>
        <v>586.64610389610391</v>
      </c>
    </row>
    <row r="10" spans="1:16" ht="21" x14ac:dyDescent="0.4">
      <c r="A10" s="41" t="s">
        <v>153</v>
      </c>
      <c r="B10" s="32" t="s">
        <v>3</v>
      </c>
      <c r="C10" s="32" t="s">
        <v>4</v>
      </c>
      <c r="D10" s="32" t="s">
        <v>5</v>
      </c>
      <c r="E10" s="32" t="s">
        <v>6</v>
      </c>
      <c r="F10" s="32" t="s">
        <v>7</v>
      </c>
      <c r="G10" s="32" t="s">
        <v>8</v>
      </c>
      <c r="H10" s="32" t="s">
        <v>9</v>
      </c>
      <c r="I10" s="32" t="s">
        <v>10</v>
      </c>
      <c r="J10" s="32" t="s">
        <v>11</v>
      </c>
      <c r="K10" s="32" t="s">
        <v>12</v>
      </c>
      <c r="L10" s="32" t="s">
        <v>13</v>
      </c>
      <c r="M10" s="32" t="s">
        <v>148</v>
      </c>
      <c r="N10" s="32" t="s">
        <v>224</v>
      </c>
      <c r="O10" s="32" t="s">
        <v>224</v>
      </c>
    </row>
    <row r="11" spans="1:16" x14ac:dyDescent="0.25">
      <c r="A11" t="s">
        <v>144</v>
      </c>
      <c r="H11">
        <v>7.1</v>
      </c>
      <c r="I11">
        <v>4.5999999999999996</v>
      </c>
      <c r="J11">
        <v>5.5</v>
      </c>
      <c r="K11">
        <v>7.2</v>
      </c>
      <c r="L11">
        <v>7.3</v>
      </c>
      <c r="M11">
        <v>8.9</v>
      </c>
      <c r="N11" s="312">
        <v>8.5</v>
      </c>
      <c r="O11" s="312">
        <v>7.5</v>
      </c>
      <c r="P11" s="312"/>
    </row>
    <row r="12" spans="1:16" x14ac:dyDescent="0.25">
      <c r="A12" t="s">
        <v>145</v>
      </c>
      <c r="H12">
        <v>3.7</v>
      </c>
      <c r="I12">
        <v>3.4</v>
      </c>
      <c r="J12">
        <v>4.3</v>
      </c>
      <c r="K12">
        <v>5.4</v>
      </c>
      <c r="L12">
        <v>5.0999999999999996</v>
      </c>
      <c r="M12">
        <v>5.8</v>
      </c>
      <c r="N12" s="312">
        <v>5.5</v>
      </c>
      <c r="O12" s="312">
        <v>5</v>
      </c>
      <c r="P12" s="312"/>
    </row>
    <row r="13" spans="1:16" x14ac:dyDescent="0.25">
      <c r="A13" t="s">
        <v>146</v>
      </c>
      <c r="H13">
        <v>2.1</v>
      </c>
      <c r="I13">
        <v>1.7</v>
      </c>
      <c r="J13">
        <v>2.1</v>
      </c>
      <c r="K13">
        <v>2.5</v>
      </c>
      <c r="L13">
        <v>2.8</v>
      </c>
      <c r="M13">
        <v>3</v>
      </c>
      <c r="N13" s="312">
        <v>3</v>
      </c>
      <c r="O13" s="312">
        <v>2.6</v>
      </c>
      <c r="P13" s="312"/>
    </row>
    <row r="14" spans="1:16" x14ac:dyDescent="0.25">
      <c r="A14" t="s">
        <v>147</v>
      </c>
      <c r="H14">
        <v>1.9</v>
      </c>
      <c r="I14">
        <v>1.3</v>
      </c>
      <c r="J14">
        <v>1.4</v>
      </c>
      <c r="K14">
        <v>1.8</v>
      </c>
      <c r="L14">
        <v>1.8</v>
      </c>
      <c r="M14">
        <v>2.9</v>
      </c>
      <c r="N14" s="312">
        <v>2.9</v>
      </c>
      <c r="O14" s="312">
        <v>1.8</v>
      </c>
      <c r="P14" s="312"/>
    </row>
    <row r="15" spans="1:16" x14ac:dyDescent="0.25">
      <c r="A15" t="s">
        <v>185</v>
      </c>
      <c r="L15">
        <v>4.4000000000000004</v>
      </c>
      <c r="M15">
        <v>3</v>
      </c>
      <c r="N15" s="312">
        <v>3</v>
      </c>
      <c r="O15" s="312">
        <v>2.7</v>
      </c>
      <c r="P15" s="312"/>
    </row>
    <row r="16" spans="1:16" x14ac:dyDescent="0.25">
      <c r="H16" s="43">
        <f t="shared" ref="H16:N16" si="3">SUMPRODUCT(H2:H5,H11:H14)/SUM(H2:H5)</f>
        <v>3.68695652173913</v>
      </c>
      <c r="I16" s="43">
        <f t="shared" si="3"/>
        <v>2.8755980861244019</v>
      </c>
      <c r="J16" s="43">
        <f t="shared" si="3"/>
        <v>3.7161469933184854</v>
      </c>
      <c r="K16" s="43">
        <f t="shared" si="3"/>
        <v>5.0882587631803933</v>
      </c>
      <c r="L16" s="43">
        <f t="shared" si="3"/>
        <v>5.0728528030930677</v>
      </c>
      <c r="M16" s="43">
        <f t="shared" si="3"/>
        <v>5.8880621876735155</v>
      </c>
      <c r="N16" s="43">
        <f t="shared" si="3"/>
        <v>5.7948082514190773</v>
      </c>
      <c r="O16" s="43">
        <f>SUMPRODUCT(O2:O5,O11:O14)/SUM(O2:O5)</f>
        <v>5.003834971618442</v>
      </c>
    </row>
    <row r="17" spans="1:15" ht="21" x14ac:dyDescent="0.4">
      <c r="A17" s="42" t="s">
        <v>149</v>
      </c>
      <c r="B17" s="32" t="s">
        <v>3</v>
      </c>
      <c r="C17" s="32" t="s">
        <v>4</v>
      </c>
      <c r="D17" s="32" t="s">
        <v>5</v>
      </c>
      <c r="E17" s="32" t="s">
        <v>6</v>
      </c>
      <c r="F17" s="32" t="s">
        <v>7</v>
      </c>
      <c r="G17" s="32" t="s">
        <v>8</v>
      </c>
      <c r="H17" s="32" t="s">
        <v>9</v>
      </c>
      <c r="I17" s="32" t="s">
        <v>10</v>
      </c>
      <c r="J17" s="32" t="s">
        <v>11</v>
      </c>
      <c r="K17" s="32" t="s">
        <v>12</v>
      </c>
      <c r="L17" s="32" t="s">
        <v>13</v>
      </c>
      <c r="M17" s="32" t="s">
        <v>148</v>
      </c>
      <c r="N17" s="32" t="s">
        <v>224</v>
      </c>
      <c r="O17" s="32" t="s">
        <v>224</v>
      </c>
    </row>
    <row r="18" spans="1:15" x14ac:dyDescent="0.25">
      <c r="A18" t="s">
        <v>144</v>
      </c>
      <c r="J18">
        <v>133</v>
      </c>
      <c r="K18">
        <v>150</v>
      </c>
      <c r="L18">
        <v>146</v>
      </c>
    </row>
    <row r="19" spans="1:15" x14ac:dyDescent="0.25">
      <c r="A19" t="s">
        <v>145</v>
      </c>
      <c r="J19">
        <v>167</v>
      </c>
      <c r="K19">
        <v>173</v>
      </c>
      <c r="L19">
        <v>148</v>
      </c>
    </row>
    <row r="20" spans="1:15" x14ac:dyDescent="0.25">
      <c r="A20" t="s">
        <v>146</v>
      </c>
      <c r="J20">
        <v>325</v>
      </c>
      <c r="K20">
        <v>314</v>
      </c>
      <c r="L20">
        <v>347</v>
      </c>
    </row>
    <row r="21" spans="1:15" x14ac:dyDescent="0.25">
      <c r="A21" t="s">
        <v>147</v>
      </c>
      <c r="J21">
        <v>418</v>
      </c>
      <c r="K21">
        <v>397</v>
      </c>
      <c r="L21">
        <v>376</v>
      </c>
    </row>
    <row r="22" spans="1:15" x14ac:dyDescent="0.25">
      <c r="A22" s="30" t="s">
        <v>152</v>
      </c>
      <c r="H22" s="45">
        <v>350.2</v>
      </c>
      <c r="I22" s="45">
        <v>211.8</v>
      </c>
      <c r="J22" s="45">
        <v>-116.3</v>
      </c>
      <c r="K22" s="45">
        <v>254.6</v>
      </c>
      <c r="L22" s="45">
        <v>378</v>
      </c>
    </row>
    <row r="23" spans="1:15" ht="21" x14ac:dyDescent="0.4">
      <c r="A23" s="40" t="s">
        <v>151</v>
      </c>
      <c r="B23" s="32" t="s">
        <v>3</v>
      </c>
      <c r="C23" s="32" t="s">
        <v>4</v>
      </c>
      <c r="D23" s="32" t="s">
        <v>5</v>
      </c>
      <c r="E23" s="32" t="s">
        <v>6</v>
      </c>
      <c r="F23" s="32" t="s">
        <v>7</v>
      </c>
      <c r="G23" s="32" t="s">
        <v>8</v>
      </c>
      <c r="H23" s="32" t="s">
        <v>9</v>
      </c>
      <c r="I23" s="32" t="s">
        <v>10</v>
      </c>
      <c r="J23" s="32" t="s">
        <v>11</v>
      </c>
      <c r="K23" s="32" t="s">
        <v>12</v>
      </c>
      <c r="L23" s="32" t="s">
        <v>13</v>
      </c>
      <c r="M23" s="32" t="s">
        <v>148</v>
      </c>
      <c r="N23" s="32" t="s">
        <v>224</v>
      </c>
      <c r="O23" s="32" t="s">
        <v>224</v>
      </c>
    </row>
    <row r="24" spans="1:15" x14ac:dyDescent="0.25">
      <c r="A24" t="s">
        <v>144</v>
      </c>
      <c r="H24">
        <f t="shared" ref="H24:M27" si="4">H2*H11</f>
        <v>198.79999999999998</v>
      </c>
      <c r="I24">
        <f t="shared" si="4"/>
        <v>262.2</v>
      </c>
      <c r="J24">
        <f t="shared" si="4"/>
        <v>888.8</v>
      </c>
      <c r="K24">
        <f t="shared" si="4"/>
        <v>1326.24</v>
      </c>
      <c r="L24">
        <f t="shared" si="4"/>
        <v>1173.1099999999999</v>
      </c>
      <c r="M24">
        <f t="shared" si="4"/>
        <v>1229.98</v>
      </c>
      <c r="N24">
        <f t="shared" ref="N24:O28" si="5">N2*N11</f>
        <v>1270.3249999999998</v>
      </c>
      <c r="O24">
        <f t="shared" si="5"/>
        <v>1790.4886363636363</v>
      </c>
    </row>
    <row r="25" spans="1:15" x14ac:dyDescent="0.25">
      <c r="A25" t="s">
        <v>145</v>
      </c>
      <c r="H25">
        <f t="shared" si="4"/>
        <v>196.10000000000002</v>
      </c>
      <c r="I25">
        <f t="shared" si="4"/>
        <v>204</v>
      </c>
      <c r="J25">
        <f t="shared" si="4"/>
        <v>144.47999999999999</v>
      </c>
      <c r="K25">
        <f t="shared" si="4"/>
        <v>165.78</v>
      </c>
      <c r="L25">
        <f t="shared" si="4"/>
        <v>369.75</v>
      </c>
      <c r="M25">
        <f t="shared" si="4"/>
        <v>477.92</v>
      </c>
      <c r="N25">
        <f t="shared" si="5"/>
        <v>425.97500000000002</v>
      </c>
      <c r="O25">
        <f t="shared" si="5"/>
        <v>618.59415584415592</v>
      </c>
    </row>
    <row r="26" spans="1:15" x14ac:dyDescent="0.25">
      <c r="A26" t="s">
        <v>146</v>
      </c>
      <c r="H26">
        <f t="shared" si="4"/>
        <v>58.800000000000004</v>
      </c>
      <c r="I26">
        <f t="shared" si="4"/>
        <v>64.599999999999994</v>
      </c>
      <c r="J26">
        <f t="shared" si="4"/>
        <v>215.88</v>
      </c>
      <c r="K26">
        <f t="shared" si="4"/>
        <v>173.75</v>
      </c>
      <c r="L26">
        <f t="shared" si="4"/>
        <v>173.6</v>
      </c>
      <c r="M26">
        <f t="shared" si="4"/>
        <v>244.20000000000002</v>
      </c>
      <c r="N26">
        <f t="shared" si="5"/>
        <v>215.10000000000002</v>
      </c>
      <c r="O26">
        <f t="shared" si="5"/>
        <v>297.78779220779222</v>
      </c>
    </row>
    <row r="27" spans="1:15" x14ac:dyDescent="0.25">
      <c r="A27" t="s">
        <v>147</v>
      </c>
      <c r="H27">
        <f t="shared" si="4"/>
        <v>55.099999999999994</v>
      </c>
      <c r="I27">
        <f t="shared" si="4"/>
        <v>70.2</v>
      </c>
      <c r="J27">
        <f t="shared" si="4"/>
        <v>85.679999999999993</v>
      </c>
      <c r="K27">
        <f t="shared" si="4"/>
        <v>119.7</v>
      </c>
      <c r="L27">
        <f t="shared" si="4"/>
        <v>120.42000000000002</v>
      </c>
      <c r="M27">
        <f t="shared" si="4"/>
        <v>168.78</v>
      </c>
      <c r="N27">
        <f t="shared" si="5"/>
        <v>181.39500000000001</v>
      </c>
      <c r="O27">
        <f t="shared" si="5"/>
        <v>179.85155844155844</v>
      </c>
    </row>
    <row r="28" spans="1:15" x14ac:dyDescent="0.25">
      <c r="A28" t="s">
        <v>185</v>
      </c>
      <c r="L28">
        <f>L6*L15</f>
        <v>42.24</v>
      </c>
      <c r="M28">
        <f>M6*M15</f>
        <v>7.8000000000000007</v>
      </c>
      <c r="N28">
        <f t="shared" si="5"/>
        <v>18.299999999999997</v>
      </c>
      <c r="O28">
        <f t="shared" si="5"/>
        <v>26.309220779220784</v>
      </c>
    </row>
    <row r="29" spans="1:15" ht="21" x14ac:dyDescent="0.4">
      <c r="A29" s="44"/>
      <c r="B29" s="32"/>
      <c r="C29" s="32"/>
      <c r="D29" s="32"/>
      <c r="E29" s="32"/>
      <c r="F29" s="32"/>
      <c r="G29" s="32"/>
      <c r="H29" s="32"/>
      <c r="I29" s="32"/>
      <c r="J29" s="46">
        <f>SUMPRODUCT(J18:J21,J24:J27)/1000</f>
        <v>248.31379999999999</v>
      </c>
      <c r="K29" s="46">
        <f>SUMPRODUCT(K18:K21,K24:K27)/1000</f>
        <v>329.69434000000001</v>
      </c>
      <c r="L29" s="46">
        <f>SUMPRODUCT(L18:L21,L24:L27)/1000</f>
        <v>331.51418000000001</v>
      </c>
      <c r="M29" s="32"/>
    </row>
    <row r="30" spans="1:15" x14ac:dyDescent="0.25">
      <c r="A30" t="s">
        <v>210</v>
      </c>
      <c r="H30">
        <f t="shared" ref="H30:N30" si="6">SUMPRODUCT(H2:H5,H11:H14)/1000</f>
        <v>0.50879999999999992</v>
      </c>
      <c r="I30">
        <f t="shared" si="6"/>
        <v>0.60099999999999998</v>
      </c>
      <c r="J30">
        <f t="shared" si="6"/>
        <v>1.33484</v>
      </c>
      <c r="K30">
        <f t="shared" si="6"/>
        <v>1.7854700000000001</v>
      </c>
      <c r="L30">
        <f t="shared" si="6"/>
        <v>1.8368799999999998</v>
      </c>
      <c r="M30">
        <f t="shared" si="6"/>
        <v>2.1208800000000001</v>
      </c>
      <c r="N30">
        <f t="shared" si="6"/>
        <v>2.0927949999999997</v>
      </c>
      <c r="O30">
        <f>SUMPRODUCT(O2:O5,O11:O14)/1000</f>
        <v>2.8867221428571432</v>
      </c>
    </row>
    <row r="31" spans="1:15" x14ac:dyDescent="0.25">
      <c r="A31" t="s">
        <v>211</v>
      </c>
      <c r="I31">
        <v>0.61360000000000003</v>
      </c>
      <c r="J31">
        <v>1.3753</v>
      </c>
      <c r="K31">
        <v>1.7985</v>
      </c>
      <c r="L31">
        <v>1.8183</v>
      </c>
    </row>
    <row r="32" spans="1:15" outlineLevel="1" x14ac:dyDescent="0.25">
      <c r="A32" s="299" t="s">
        <v>222</v>
      </c>
      <c r="B32" s="299"/>
      <c r="C32" s="299"/>
      <c r="D32" s="299"/>
      <c r="E32" s="299"/>
      <c r="F32" s="299"/>
      <c r="G32" s="299"/>
      <c r="H32" s="299">
        <v>950</v>
      </c>
      <c r="I32" s="299">
        <v>1136</v>
      </c>
      <c r="J32" s="299">
        <v>1477</v>
      </c>
      <c r="K32" s="299">
        <v>1467</v>
      </c>
      <c r="L32" s="299">
        <v>1361</v>
      </c>
    </row>
    <row r="33" spans="1:12" outlineLevel="1" x14ac:dyDescent="0.25">
      <c r="A33" s="299" t="s">
        <v>223</v>
      </c>
      <c r="B33" s="299"/>
      <c r="C33" s="299"/>
      <c r="D33" s="299"/>
      <c r="E33" s="299"/>
      <c r="F33" s="299"/>
      <c r="G33" s="299"/>
      <c r="H33" s="299">
        <v>523</v>
      </c>
      <c r="I33" s="299">
        <v>697</v>
      </c>
      <c r="J33" s="299">
        <v>1072</v>
      </c>
      <c r="K33" s="299">
        <v>824</v>
      </c>
      <c r="L33" s="299">
        <v>708</v>
      </c>
    </row>
    <row r="34" spans="1:12" x14ac:dyDescent="0.25">
      <c r="A34" t="s">
        <v>221</v>
      </c>
      <c r="H34" s="296">
        <f>950/523</f>
        <v>1.8164435946462716</v>
      </c>
      <c r="I34" s="296">
        <f>1136/697</f>
        <v>1.629842180774749</v>
      </c>
      <c r="J34">
        <f>1477/1072</f>
        <v>1.3777985074626866</v>
      </c>
      <c r="K34">
        <f>1467/824</f>
        <v>1.7803398058252426</v>
      </c>
      <c r="L34">
        <f>L32/L33</f>
        <v>1.9223163841807909</v>
      </c>
    </row>
    <row r="35" spans="1:12" x14ac:dyDescent="0.25">
      <c r="I35">
        <f>I31-I30</f>
        <v>1.2600000000000056E-2</v>
      </c>
      <c r="J35">
        <f>J31-J30</f>
        <v>4.045999999999994E-2</v>
      </c>
      <c r="K35">
        <f>K31-K30</f>
        <v>1.3029999999999875E-2</v>
      </c>
      <c r="L35">
        <f>L31-L30</f>
        <v>-1.8579999999999819E-2</v>
      </c>
    </row>
    <row r="37" spans="1:12" x14ac:dyDescent="0.25">
      <c r="A37" t="s">
        <v>219</v>
      </c>
      <c r="I37" s="294">
        <f>EBITDA_good!$E$44*I31/43100</f>
        <v>9.9229512761020884E-3</v>
      </c>
      <c r="J37" s="294">
        <f>EBITDA_good!$I$44*J31/43100</f>
        <v>3.4206997679814388E-2</v>
      </c>
      <c r="K37" s="294">
        <f>EBITDA_good!$M$44*K31/43100</f>
        <v>3.438431554524362E-2</v>
      </c>
      <c r="L37" s="294">
        <f>EBITDA_good!$Q$44*L31/43100</f>
        <v>2.9869058004640375E-2</v>
      </c>
    </row>
    <row r="38" spans="1:12" x14ac:dyDescent="0.25">
      <c r="A38" t="s">
        <v>220</v>
      </c>
      <c r="I38" s="295">
        <f>I32/43100/I8*10^6</f>
        <v>126.11152432864486</v>
      </c>
      <c r="J38" s="33">
        <f>J37/J8*10^6</f>
        <v>93.872112183903369</v>
      </c>
      <c r="K38" s="33">
        <f>K37/K8*10^6</f>
        <v>97.988930023492799</v>
      </c>
      <c r="L38" s="33">
        <f>L37/L8*10^6</f>
        <v>80.357971494862454</v>
      </c>
    </row>
    <row r="39" spans="1:12" x14ac:dyDescent="0.25">
      <c r="I39" s="29">
        <f>I31/I8*10^3</f>
        <v>2.9358851674641153</v>
      </c>
      <c r="J39" s="29">
        <f>J31/J8*10^3</f>
        <v>3.7741492864983539</v>
      </c>
      <c r="K39" s="29">
        <f>K31/K8*10^3</f>
        <v>5.1253918495297803</v>
      </c>
      <c r="L39" s="29">
        <f>L31/L8*10^3</f>
        <v>4.89184826472962</v>
      </c>
    </row>
    <row r="40" spans="1:12" x14ac:dyDescent="0.25">
      <c r="I40">
        <f>I37*43100</f>
        <v>427.67920000000004</v>
      </c>
      <c r="J40">
        <f>J37*43100</f>
        <v>1474.3216000000002</v>
      </c>
      <c r="K40">
        <f>K37*43100</f>
        <v>1481.9639999999999</v>
      </c>
      <c r="L40">
        <f>L37*43100</f>
        <v>1287.3564000000001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30"/>
  <sheetViews>
    <sheetView topLeftCell="W19" workbookViewId="0">
      <selection activeCell="AK28" sqref="AK28"/>
    </sheetView>
  </sheetViews>
  <sheetFormatPr defaultRowHeight="13.2" x14ac:dyDescent="0.25"/>
  <cols>
    <col min="15" max="15" width="9.44140625" customWidth="1"/>
    <col min="16" max="16" width="10.6640625" customWidth="1"/>
  </cols>
  <sheetData>
    <row r="1" spans="1:32" ht="25.2" customHeight="1" x14ac:dyDescent="0.25">
      <c r="A1" s="403"/>
      <c r="B1" s="405" t="s">
        <v>119</v>
      </c>
      <c r="C1" s="406"/>
      <c r="D1" s="406"/>
      <c r="E1" s="406"/>
      <c r="F1" s="406"/>
      <c r="G1" s="407"/>
      <c r="H1" s="307"/>
      <c r="I1" s="307"/>
      <c r="J1" s="307"/>
      <c r="K1" s="307"/>
      <c r="L1" s="307"/>
      <c r="M1" s="307"/>
      <c r="N1" s="307"/>
      <c r="O1" s="307"/>
      <c r="P1" s="307"/>
      <c r="R1" s="403"/>
      <c r="S1" s="405" t="s">
        <v>127</v>
      </c>
      <c r="T1" s="406"/>
      <c r="U1" s="406"/>
      <c r="V1" s="406"/>
      <c r="W1" s="406"/>
      <c r="X1" s="407"/>
      <c r="Z1" s="403"/>
      <c r="AA1" s="400" t="s">
        <v>132</v>
      </c>
      <c r="AB1" s="401"/>
      <c r="AC1" s="401"/>
      <c r="AD1" s="401"/>
      <c r="AE1" s="401"/>
      <c r="AF1" s="402"/>
    </row>
    <row r="2" spans="1:32" ht="76.8" x14ac:dyDescent="0.25">
      <c r="A2" s="404"/>
      <c r="B2" s="22" t="s">
        <v>120</v>
      </c>
      <c r="C2" s="22" t="s">
        <v>121</v>
      </c>
      <c r="D2" s="22" t="s">
        <v>122</v>
      </c>
      <c r="E2" s="22" t="s">
        <v>123</v>
      </c>
      <c r="F2" s="22" t="s">
        <v>124</v>
      </c>
      <c r="G2" s="22" t="s">
        <v>125</v>
      </c>
      <c r="H2" s="307"/>
      <c r="I2" s="307"/>
      <c r="J2" s="307"/>
      <c r="K2" s="307"/>
      <c r="L2" s="307"/>
      <c r="M2" s="307"/>
      <c r="N2" s="307"/>
      <c r="O2" s="307"/>
      <c r="P2" s="307"/>
      <c r="R2" s="404"/>
      <c r="S2" s="22" t="s">
        <v>128</v>
      </c>
      <c r="T2" s="22" t="s">
        <v>121</v>
      </c>
      <c r="U2" s="22" t="s">
        <v>129</v>
      </c>
      <c r="V2" s="22" t="s">
        <v>123</v>
      </c>
      <c r="W2" s="22" t="s">
        <v>130</v>
      </c>
      <c r="X2" s="22" t="s">
        <v>131</v>
      </c>
      <c r="Z2" s="404"/>
      <c r="AA2" s="22" t="s">
        <v>128</v>
      </c>
      <c r="AB2" s="22" t="s">
        <v>121</v>
      </c>
      <c r="AC2" s="22" t="s">
        <v>129</v>
      </c>
      <c r="AD2" s="22" t="s">
        <v>123</v>
      </c>
      <c r="AE2" s="22" t="s">
        <v>130</v>
      </c>
      <c r="AF2" s="22" t="s">
        <v>133</v>
      </c>
    </row>
    <row r="3" spans="1:32" x14ac:dyDescent="0.25">
      <c r="A3" s="22">
        <v>1990</v>
      </c>
      <c r="B3" s="23">
        <v>14583</v>
      </c>
      <c r="C3" s="23">
        <v>1607</v>
      </c>
      <c r="D3" s="23">
        <v>1636</v>
      </c>
      <c r="E3" s="23">
        <v>1429</v>
      </c>
      <c r="F3" s="23">
        <v>456</v>
      </c>
      <c r="G3" s="23">
        <v>11999</v>
      </c>
      <c r="H3" s="308"/>
      <c r="I3" s="308"/>
      <c r="J3" s="308"/>
      <c r="K3" s="308"/>
      <c r="L3" s="308"/>
      <c r="M3" s="308"/>
      <c r="N3" s="308"/>
      <c r="O3" s="308"/>
      <c r="P3" s="308"/>
      <c r="R3" s="22">
        <v>1990</v>
      </c>
      <c r="S3" s="23">
        <v>51009</v>
      </c>
      <c r="T3" s="23">
        <v>44264</v>
      </c>
      <c r="U3" s="23">
        <v>2571</v>
      </c>
      <c r="V3" s="23">
        <v>16732</v>
      </c>
      <c r="W3" s="23">
        <v>6666</v>
      </c>
      <c r="X3" s="23">
        <v>2902</v>
      </c>
      <c r="Z3" s="22">
        <v>1990</v>
      </c>
      <c r="AA3" s="23">
        <v>35.1</v>
      </c>
      <c r="AB3" s="23">
        <v>276</v>
      </c>
      <c r="AC3" s="23">
        <v>15.8</v>
      </c>
      <c r="AD3" s="23">
        <v>117</v>
      </c>
      <c r="AE3" s="23">
        <v>149</v>
      </c>
      <c r="AF3" s="23">
        <v>42.7</v>
      </c>
    </row>
    <row r="4" spans="1:32" x14ac:dyDescent="0.25">
      <c r="A4" s="22">
        <v>1991</v>
      </c>
      <c r="B4" s="23">
        <v>14671</v>
      </c>
      <c r="C4" s="23">
        <v>1558</v>
      </c>
      <c r="D4" s="23">
        <v>1601</v>
      </c>
      <c r="E4" s="23">
        <v>1533</v>
      </c>
      <c r="F4" s="23" t="s">
        <v>126</v>
      </c>
      <c r="G4" s="23">
        <v>11555</v>
      </c>
      <c r="H4" s="308"/>
      <c r="I4" s="308"/>
      <c r="J4" s="308"/>
      <c r="K4" s="308"/>
      <c r="L4" s="308"/>
      <c r="M4" s="308"/>
      <c r="N4" s="308"/>
      <c r="O4" s="308"/>
      <c r="P4" s="308"/>
      <c r="R4" s="22">
        <v>1991</v>
      </c>
      <c r="S4" s="23">
        <v>38674</v>
      </c>
      <c r="T4" s="23">
        <v>36168</v>
      </c>
      <c r="U4" s="23">
        <v>2311</v>
      </c>
      <c r="V4" s="23">
        <v>14550</v>
      </c>
      <c r="W4" s="23">
        <v>5932</v>
      </c>
      <c r="X4" s="23">
        <v>1537</v>
      </c>
      <c r="Z4" s="22">
        <v>1991</v>
      </c>
      <c r="AA4" s="23">
        <v>26.5</v>
      </c>
      <c r="AB4" s="23">
        <v>234</v>
      </c>
      <c r="AC4" s="23">
        <v>14.6</v>
      </c>
      <c r="AD4" s="23">
        <v>95</v>
      </c>
      <c r="AE4" s="23">
        <v>128</v>
      </c>
      <c r="AF4" s="23">
        <v>23</v>
      </c>
    </row>
    <row r="5" spans="1:32" x14ac:dyDescent="0.25">
      <c r="A5" s="22">
        <v>1992</v>
      </c>
      <c r="B5" s="23">
        <v>13903</v>
      </c>
      <c r="C5" s="23">
        <v>1498</v>
      </c>
      <c r="D5" s="23">
        <v>1641</v>
      </c>
      <c r="E5" s="23">
        <v>1702</v>
      </c>
      <c r="F5" s="23">
        <v>500</v>
      </c>
      <c r="G5" s="23">
        <v>11707</v>
      </c>
      <c r="H5" s="308"/>
      <c r="I5" s="308"/>
      <c r="J5" s="308"/>
      <c r="K5" s="308"/>
      <c r="L5" s="308"/>
      <c r="M5" s="308"/>
      <c r="N5" s="308"/>
      <c r="O5" s="308"/>
      <c r="P5" s="308"/>
      <c r="R5" s="22">
        <v>1992</v>
      </c>
      <c r="S5" s="23">
        <v>38537</v>
      </c>
      <c r="T5" s="23">
        <v>28783</v>
      </c>
      <c r="U5" s="23">
        <v>2127</v>
      </c>
      <c r="V5" s="23">
        <v>20277</v>
      </c>
      <c r="W5" s="23">
        <v>5310</v>
      </c>
      <c r="X5" s="23">
        <v>2122</v>
      </c>
      <c r="Z5" s="22">
        <v>1992</v>
      </c>
      <c r="AA5" s="23">
        <v>27.9</v>
      </c>
      <c r="AB5" s="23">
        <v>194</v>
      </c>
      <c r="AC5" s="23">
        <v>13</v>
      </c>
      <c r="AD5" s="23">
        <v>119</v>
      </c>
      <c r="AE5" s="23">
        <v>110</v>
      </c>
      <c r="AF5" s="23">
        <v>32.200000000000003</v>
      </c>
    </row>
    <row r="6" spans="1:32" x14ac:dyDescent="0.25">
      <c r="A6" s="22">
        <v>1993</v>
      </c>
      <c r="B6" s="23">
        <v>14305</v>
      </c>
      <c r="C6" s="23">
        <v>1530</v>
      </c>
      <c r="D6" s="23">
        <v>1637</v>
      </c>
      <c r="E6" s="23">
        <v>1552</v>
      </c>
      <c r="F6" s="23">
        <v>474</v>
      </c>
      <c r="G6" s="23">
        <v>11287</v>
      </c>
      <c r="H6" s="308"/>
      <c r="I6" s="308"/>
      <c r="J6" s="308"/>
      <c r="K6" s="308"/>
      <c r="L6" s="308"/>
      <c r="M6" s="308"/>
      <c r="N6" s="308"/>
      <c r="O6" s="308"/>
      <c r="P6" s="308"/>
      <c r="R6" s="22">
        <v>1993</v>
      </c>
      <c r="S6" s="23">
        <v>45623</v>
      </c>
      <c r="T6" s="23">
        <v>33717</v>
      </c>
      <c r="U6" s="23">
        <v>2075</v>
      </c>
      <c r="V6" s="23">
        <v>21009</v>
      </c>
      <c r="W6" s="23">
        <v>6055</v>
      </c>
      <c r="X6" s="23">
        <v>2798</v>
      </c>
      <c r="Z6" s="22">
        <v>1993</v>
      </c>
      <c r="AA6" s="23">
        <v>32.1</v>
      </c>
      <c r="AB6" s="23">
        <v>222</v>
      </c>
      <c r="AC6" s="23">
        <v>12.7</v>
      </c>
      <c r="AD6" s="23">
        <v>137</v>
      </c>
      <c r="AE6" s="23">
        <v>130</v>
      </c>
      <c r="AF6" s="23">
        <v>43.2</v>
      </c>
    </row>
    <row r="7" spans="1:32" x14ac:dyDescent="0.25">
      <c r="A7" s="22">
        <v>1994</v>
      </c>
      <c r="B7" s="23">
        <v>13527</v>
      </c>
      <c r="C7" s="23">
        <v>1485</v>
      </c>
      <c r="D7" s="23">
        <v>1784</v>
      </c>
      <c r="E7" s="23">
        <v>1532</v>
      </c>
      <c r="F7" s="23">
        <v>457</v>
      </c>
      <c r="G7" s="23">
        <v>11881</v>
      </c>
      <c r="H7" s="308"/>
      <c r="I7" s="308"/>
      <c r="J7" s="308"/>
      <c r="K7" s="308"/>
      <c r="L7" s="308"/>
      <c r="M7" s="308"/>
      <c r="N7" s="308"/>
      <c r="O7" s="308"/>
      <c r="P7" s="308"/>
      <c r="R7" s="22">
        <v>1994</v>
      </c>
      <c r="S7" s="23">
        <v>35497</v>
      </c>
      <c r="T7" s="23">
        <v>28138</v>
      </c>
      <c r="U7" s="23">
        <v>1569</v>
      </c>
      <c r="V7" s="23">
        <v>16102</v>
      </c>
      <c r="W7" s="23">
        <v>5142</v>
      </c>
      <c r="X7" s="23">
        <v>1153</v>
      </c>
      <c r="Z7" s="22">
        <v>1994</v>
      </c>
      <c r="AA7" s="23">
        <v>26.8</v>
      </c>
      <c r="AB7" s="23">
        <v>192</v>
      </c>
      <c r="AC7" s="23">
        <v>9.1</v>
      </c>
      <c r="AD7" s="23">
        <v>105</v>
      </c>
      <c r="AE7" s="23">
        <v>115</v>
      </c>
      <c r="AF7" s="23">
        <v>18</v>
      </c>
    </row>
    <row r="8" spans="1:32" x14ac:dyDescent="0.25">
      <c r="A8" s="22">
        <v>1995</v>
      </c>
      <c r="B8" s="23">
        <v>14152</v>
      </c>
      <c r="C8" s="23">
        <v>1475</v>
      </c>
      <c r="D8" s="23">
        <v>2020</v>
      </c>
      <c r="E8" s="23">
        <v>1532</v>
      </c>
      <c r="F8" s="23">
        <v>503</v>
      </c>
      <c r="G8" s="23">
        <v>10898</v>
      </c>
      <c r="H8" s="308"/>
      <c r="I8" s="308"/>
      <c r="J8" s="308"/>
      <c r="K8" s="308"/>
      <c r="L8" s="308"/>
      <c r="M8" s="308"/>
      <c r="N8" s="308"/>
      <c r="O8" s="308"/>
      <c r="P8" s="308"/>
      <c r="R8" s="22">
        <v>1995</v>
      </c>
      <c r="S8" s="23">
        <v>33930</v>
      </c>
      <c r="T8" s="23">
        <v>29650</v>
      </c>
      <c r="U8" s="23">
        <v>2860</v>
      </c>
      <c r="V8" s="23">
        <v>14729</v>
      </c>
      <c r="W8" s="23">
        <v>5880</v>
      </c>
      <c r="X8" s="23">
        <v>1897</v>
      </c>
      <c r="Z8" s="22">
        <v>1995</v>
      </c>
      <c r="AA8" s="23">
        <v>24.3</v>
      </c>
      <c r="AB8" s="23">
        <v>205</v>
      </c>
      <c r="AC8" s="23">
        <v>14.2</v>
      </c>
      <c r="AD8" s="23">
        <v>96</v>
      </c>
      <c r="AE8" s="23">
        <v>120</v>
      </c>
      <c r="AF8" s="23">
        <v>29.8</v>
      </c>
    </row>
    <row r="9" spans="1:32" x14ac:dyDescent="0.25">
      <c r="A9" s="22">
        <v>1996</v>
      </c>
      <c r="B9" s="23">
        <v>13248</v>
      </c>
      <c r="C9" s="23">
        <v>1359</v>
      </c>
      <c r="D9" s="23">
        <v>2107</v>
      </c>
      <c r="E9" s="23">
        <v>1547</v>
      </c>
      <c r="F9" s="23">
        <v>476</v>
      </c>
      <c r="G9" s="23">
        <v>11026</v>
      </c>
      <c r="H9" s="308"/>
      <c r="I9" s="308"/>
      <c r="J9" s="308"/>
      <c r="K9" s="308"/>
      <c r="L9" s="308"/>
      <c r="M9" s="308"/>
      <c r="N9" s="308"/>
      <c r="O9" s="308"/>
      <c r="P9" s="308"/>
      <c r="R9" s="22">
        <v>1996</v>
      </c>
      <c r="S9" s="23">
        <v>24571</v>
      </c>
      <c r="T9" s="23">
        <v>23009</v>
      </c>
      <c r="U9" s="23">
        <v>2123</v>
      </c>
      <c r="V9" s="23">
        <v>18410</v>
      </c>
      <c r="W9" s="23">
        <v>5070</v>
      </c>
      <c r="X9" s="23">
        <v>1924</v>
      </c>
      <c r="Z9" s="22">
        <v>1996</v>
      </c>
      <c r="AA9" s="23">
        <v>19.600000000000001</v>
      </c>
      <c r="AB9" s="23">
        <v>183</v>
      </c>
      <c r="AC9" s="23">
        <v>10.5</v>
      </c>
      <c r="AD9" s="23">
        <v>119</v>
      </c>
      <c r="AE9" s="23">
        <v>112</v>
      </c>
      <c r="AF9" s="23">
        <v>30.6</v>
      </c>
    </row>
    <row r="10" spans="1:32" x14ac:dyDescent="0.25">
      <c r="A10" s="22">
        <v>1997</v>
      </c>
      <c r="B10" s="23">
        <v>15051</v>
      </c>
      <c r="C10" s="23">
        <v>1104</v>
      </c>
      <c r="D10" s="23">
        <v>2065</v>
      </c>
      <c r="E10" s="23">
        <v>1579</v>
      </c>
      <c r="F10" s="23">
        <v>480</v>
      </c>
      <c r="G10" s="23">
        <v>9720</v>
      </c>
      <c r="H10" s="308"/>
      <c r="I10" s="308"/>
      <c r="J10" s="308"/>
      <c r="K10" s="308"/>
      <c r="L10" s="308"/>
      <c r="M10" s="308"/>
      <c r="N10" s="308"/>
      <c r="O10" s="308"/>
      <c r="P10" s="308"/>
      <c r="R10" s="22">
        <v>1997</v>
      </c>
      <c r="S10" s="23">
        <v>35472</v>
      </c>
      <c r="T10" s="23">
        <v>17663</v>
      </c>
      <c r="U10" s="23">
        <v>2308</v>
      </c>
      <c r="V10" s="23">
        <v>16701</v>
      </c>
      <c r="W10" s="23">
        <v>5168</v>
      </c>
      <c r="X10" s="23">
        <v>2793</v>
      </c>
      <c r="Z10" s="22">
        <v>1997</v>
      </c>
      <c r="AA10" s="23">
        <v>24.5</v>
      </c>
      <c r="AB10" s="23">
        <v>176</v>
      </c>
      <c r="AC10" s="23">
        <v>11.5</v>
      </c>
      <c r="AD10" s="23">
        <v>106</v>
      </c>
      <c r="AE10" s="23">
        <v>114</v>
      </c>
      <c r="AF10" s="23">
        <v>44.5</v>
      </c>
    </row>
    <row r="11" spans="1:32" x14ac:dyDescent="0.25">
      <c r="A11" s="22">
        <v>1998</v>
      </c>
      <c r="B11" s="23">
        <v>13718</v>
      </c>
      <c r="C11" s="23">
        <v>1017</v>
      </c>
      <c r="D11" s="23">
        <v>2531</v>
      </c>
      <c r="E11" s="23">
        <v>1513</v>
      </c>
      <c r="F11" s="23">
        <v>459</v>
      </c>
      <c r="G11" s="23">
        <v>9236</v>
      </c>
      <c r="H11" s="308"/>
      <c r="I11" s="308"/>
      <c r="J11" s="308"/>
      <c r="K11" s="308"/>
      <c r="L11" s="308"/>
      <c r="M11" s="308"/>
      <c r="N11" s="308"/>
      <c r="O11" s="308"/>
      <c r="P11" s="308"/>
      <c r="R11" s="22">
        <v>1998</v>
      </c>
      <c r="S11" s="23">
        <v>26471</v>
      </c>
      <c r="T11" s="23">
        <v>15523</v>
      </c>
      <c r="U11" s="23">
        <v>2266</v>
      </c>
      <c r="V11" s="23">
        <v>15405</v>
      </c>
      <c r="W11" s="23">
        <v>5492</v>
      </c>
      <c r="X11" s="23">
        <v>1178</v>
      </c>
      <c r="Z11" s="22">
        <v>1998</v>
      </c>
      <c r="AA11" s="23">
        <v>20.8</v>
      </c>
      <c r="AB11" s="23">
        <v>174</v>
      </c>
      <c r="AC11" s="23">
        <v>9.3000000000000007</v>
      </c>
      <c r="AD11" s="23">
        <v>102</v>
      </c>
      <c r="AE11" s="23">
        <v>123</v>
      </c>
      <c r="AF11" s="23">
        <v>28.6</v>
      </c>
    </row>
    <row r="12" spans="1:32" x14ac:dyDescent="0.25">
      <c r="A12" s="22">
        <v>1999</v>
      </c>
      <c r="B12" s="23">
        <v>13154</v>
      </c>
      <c r="C12" s="23">
        <v>1022</v>
      </c>
      <c r="D12" s="23">
        <v>2889</v>
      </c>
      <c r="E12" s="23">
        <v>1552</v>
      </c>
      <c r="F12" s="23">
        <v>497</v>
      </c>
      <c r="G12" s="23">
        <v>8653</v>
      </c>
      <c r="H12" s="308"/>
      <c r="I12" s="308"/>
      <c r="J12" s="308"/>
      <c r="K12" s="308"/>
      <c r="L12" s="308"/>
      <c r="M12" s="308"/>
      <c r="N12" s="308"/>
      <c r="O12" s="308"/>
      <c r="P12" s="308"/>
      <c r="R12" s="22">
        <v>1999</v>
      </c>
      <c r="S12" s="23">
        <v>24581</v>
      </c>
      <c r="T12" s="23">
        <v>14064</v>
      </c>
      <c r="U12" s="23">
        <v>2794</v>
      </c>
      <c r="V12" s="23">
        <v>12723</v>
      </c>
      <c r="W12" s="23">
        <v>5324</v>
      </c>
      <c r="X12" s="23">
        <v>766</v>
      </c>
      <c r="Z12" s="22">
        <v>1999</v>
      </c>
      <c r="AA12" s="23">
        <v>19.7</v>
      </c>
      <c r="AB12" s="23">
        <v>156</v>
      </c>
      <c r="AC12" s="23">
        <v>10</v>
      </c>
      <c r="AD12" s="23">
        <v>82</v>
      </c>
      <c r="AE12" s="23">
        <v>111</v>
      </c>
      <c r="AF12" s="23">
        <v>19.2</v>
      </c>
    </row>
    <row r="13" spans="1:32" x14ac:dyDescent="0.25">
      <c r="A13" s="22">
        <v>2000</v>
      </c>
      <c r="B13" s="23">
        <v>13646</v>
      </c>
      <c r="C13" s="23">
        <v>856</v>
      </c>
      <c r="D13" s="23">
        <v>2943</v>
      </c>
      <c r="E13" s="23">
        <v>1629</v>
      </c>
      <c r="F13" s="23">
        <v>538</v>
      </c>
      <c r="G13" s="23">
        <v>7063</v>
      </c>
      <c r="H13" s="308"/>
      <c r="I13" s="308"/>
      <c r="J13" s="308"/>
      <c r="K13" s="308"/>
      <c r="L13" s="308"/>
      <c r="M13" s="308"/>
      <c r="N13" s="308"/>
      <c r="O13" s="308"/>
      <c r="P13" s="308"/>
      <c r="R13" s="22">
        <v>2000</v>
      </c>
      <c r="S13" s="23">
        <v>24459</v>
      </c>
      <c r="T13" s="23">
        <v>13199</v>
      </c>
      <c r="U13" s="23">
        <v>3457</v>
      </c>
      <c r="V13" s="23">
        <v>19838</v>
      </c>
      <c r="W13" s="23">
        <v>5821</v>
      </c>
      <c r="X13" s="23">
        <v>1453</v>
      </c>
      <c r="Z13" s="22">
        <v>2000</v>
      </c>
      <c r="AA13" s="23">
        <v>19.399999999999999</v>
      </c>
      <c r="AB13" s="23">
        <v>177</v>
      </c>
      <c r="AC13" s="23">
        <v>12.2</v>
      </c>
      <c r="AD13" s="23">
        <v>122</v>
      </c>
      <c r="AE13" s="23">
        <v>112</v>
      </c>
      <c r="AF13" s="23">
        <v>38.4</v>
      </c>
    </row>
    <row r="14" spans="1:32" x14ac:dyDescent="0.25">
      <c r="A14" s="22">
        <v>2001</v>
      </c>
      <c r="B14" s="23">
        <v>15586</v>
      </c>
      <c r="C14" s="23">
        <v>970</v>
      </c>
      <c r="D14" s="23">
        <v>2502</v>
      </c>
      <c r="E14" s="23">
        <v>1604</v>
      </c>
      <c r="F14" s="23">
        <v>490</v>
      </c>
      <c r="G14" s="23">
        <v>6375</v>
      </c>
      <c r="H14" s="308"/>
      <c r="I14" s="308"/>
      <c r="J14" s="308"/>
      <c r="K14" s="308"/>
      <c r="L14" s="308"/>
      <c r="M14" s="308"/>
      <c r="N14" s="308"/>
      <c r="O14" s="308"/>
      <c r="P14" s="308"/>
      <c r="R14" s="22">
        <v>2001</v>
      </c>
      <c r="S14" s="23">
        <v>39706</v>
      </c>
      <c r="T14" s="23">
        <v>15575</v>
      </c>
      <c r="U14" s="23">
        <v>2251</v>
      </c>
      <c r="V14" s="23">
        <v>17344</v>
      </c>
      <c r="W14" s="23">
        <v>5907</v>
      </c>
      <c r="X14" s="23">
        <v>1106</v>
      </c>
      <c r="Z14" s="22">
        <v>2001</v>
      </c>
      <c r="AA14" s="23">
        <v>27.1</v>
      </c>
      <c r="AB14" s="23">
        <v>183</v>
      </c>
      <c r="AC14" s="23">
        <v>9.4</v>
      </c>
      <c r="AD14" s="23">
        <v>108</v>
      </c>
      <c r="AE14" s="23">
        <v>123</v>
      </c>
      <c r="AF14" s="23">
        <v>30.5</v>
      </c>
    </row>
    <row r="15" spans="1:32" x14ac:dyDescent="0.25">
      <c r="A15" s="22">
        <v>2002</v>
      </c>
      <c r="B15" s="23">
        <v>15448</v>
      </c>
      <c r="C15" s="23">
        <v>897</v>
      </c>
      <c r="D15" s="23">
        <v>2834</v>
      </c>
      <c r="E15" s="23">
        <v>1590</v>
      </c>
      <c r="F15" s="23">
        <v>479</v>
      </c>
      <c r="G15" s="23">
        <v>5858</v>
      </c>
      <c r="H15" s="308"/>
      <c r="I15" s="308"/>
      <c r="J15" s="308"/>
      <c r="K15" s="308"/>
      <c r="L15" s="308"/>
      <c r="M15" s="308"/>
      <c r="N15" s="308"/>
      <c r="O15" s="308"/>
      <c r="P15" s="308"/>
      <c r="R15" s="22">
        <v>2002</v>
      </c>
      <c r="S15" s="23">
        <v>38804</v>
      </c>
      <c r="T15" s="23">
        <v>14452</v>
      </c>
      <c r="U15" s="23">
        <v>3271</v>
      </c>
      <c r="V15" s="23">
        <v>16619</v>
      </c>
      <c r="W15" s="23">
        <v>5827</v>
      </c>
      <c r="X15" s="23">
        <v>1211</v>
      </c>
      <c r="Z15" s="22">
        <v>2002</v>
      </c>
      <c r="AA15" s="23">
        <v>27.3</v>
      </c>
      <c r="AB15" s="23">
        <v>189</v>
      </c>
      <c r="AC15" s="23">
        <v>12</v>
      </c>
      <c r="AD15" s="23">
        <v>104</v>
      </c>
      <c r="AE15" s="23">
        <v>124</v>
      </c>
      <c r="AF15" s="23">
        <v>36.5</v>
      </c>
    </row>
    <row r="16" spans="1:32" x14ac:dyDescent="0.25">
      <c r="A16" s="22">
        <v>2003</v>
      </c>
      <c r="B16" s="23">
        <v>12495</v>
      </c>
      <c r="C16" s="23">
        <v>773</v>
      </c>
      <c r="D16" s="23">
        <v>4001</v>
      </c>
      <c r="E16" s="23">
        <v>1585</v>
      </c>
      <c r="F16" s="23">
        <v>480</v>
      </c>
      <c r="G16" s="23">
        <v>5074</v>
      </c>
      <c r="H16" s="308"/>
      <c r="I16" s="308"/>
      <c r="J16" s="308"/>
      <c r="K16" s="308"/>
      <c r="L16" s="308"/>
      <c r="M16" s="308"/>
      <c r="N16" s="308"/>
      <c r="O16" s="308"/>
      <c r="P16" s="308"/>
      <c r="R16" s="22">
        <v>2003</v>
      </c>
      <c r="S16" s="23">
        <v>20234</v>
      </c>
      <c r="T16" s="23">
        <v>13392</v>
      </c>
      <c r="U16" s="23">
        <v>4254</v>
      </c>
      <c r="V16" s="23">
        <v>18453</v>
      </c>
      <c r="W16" s="23">
        <v>6538</v>
      </c>
      <c r="X16" s="23">
        <v>1697</v>
      </c>
      <c r="Z16" s="22">
        <v>2003</v>
      </c>
      <c r="AA16" s="23">
        <v>18.2</v>
      </c>
      <c r="AB16" s="23">
        <v>201</v>
      </c>
      <c r="AC16" s="23">
        <v>11.2</v>
      </c>
      <c r="AD16" s="23">
        <v>116</v>
      </c>
      <c r="AE16" s="23">
        <v>139</v>
      </c>
      <c r="AF16" s="23">
        <v>56</v>
      </c>
    </row>
    <row r="17" spans="1:43" x14ac:dyDescent="0.25">
      <c r="A17" s="22">
        <v>2004</v>
      </c>
      <c r="B17" s="23">
        <v>15434</v>
      </c>
      <c r="C17" s="23">
        <v>732</v>
      </c>
      <c r="D17" s="23">
        <v>3521</v>
      </c>
      <c r="E17" s="23">
        <v>1556</v>
      </c>
      <c r="F17" s="23">
        <v>476</v>
      </c>
      <c r="G17" s="23">
        <v>4243</v>
      </c>
      <c r="H17" s="308"/>
      <c r="I17" s="308"/>
      <c r="J17" s="308"/>
      <c r="K17" s="308"/>
      <c r="L17" s="308"/>
      <c r="M17" s="308"/>
      <c r="N17" s="308"/>
      <c r="O17" s="308"/>
      <c r="P17" s="308"/>
      <c r="R17" s="22">
        <v>2004</v>
      </c>
      <c r="S17" s="23">
        <v>41809</v>
      </c>
      <c r="T17" s="23">
        <v>16600</v>
      </c>
      <c r="U17" s="23">
        <v>3050</v>
      </c>
      <c r="V17" s="23">
        <v>20755</v>
      </c>
      <c r="W17" s="23">
        <v>6964</v>
      </c>
      <c r="X17" s="23">
        <v>1635</v>
      </c>
      <c r="Z17" s="22">
        <v>2004</v>
      </c>
      <c r="AA17" s="23">
        <v>28.3</v>
      </c>
      <c r="AB17" s="23">
        <v>238</v>
      </c>
      <c r="AC17" s="23">
        <v>8.9</v>
      </c>
      <c r="AD17" s="23">
        <v>133</v>
      </c>
      <c r="AE17" s="23">
        <v>149</v>
      </c>
      <c r="AF17" s="23">
        <v>58.1</v>
      </c>
    </row>
    <row r="18" spans="1:43" x14ac:dyDescent="0.25">
      <c r="A18" s="22">
        <v>2005</v>
      </c>
      <c r="B18" s="23">
        <v>15005</v>
      </c>
      <c r="C18" s="23">
        <v>652</v>
      </c>
      <c r="D18" s="23">
        <v>3743</v>
      </c>
      <c r="E18" s="23">
        <v>1514</v>
      </c>
      <c r="F18" s="23">
        <v>465</v>
      </c>
      <c r="G18" s="23">
        <v>3738</v>
      </c>
      <c r="H18" s="308"/>
      <c r="I18" s="308"/>
      <c r="J18" s="308"/>
      <c r="K18" s="308"/>
      <c r="L18" s="308"/>
      <c r="M18" s="308"/>
      <c r="N18" s="308"/>
      <c r="O18" s="308"/>
      <c r="P18" s="308"/>
      <c r="R18" s="22">
        <v>2005</v>
      </c>
      <c r="S18" s="23">
        <v>38016</v>
      </c>
      <c r="T18" s="23">
        <v>15468</v>
      </c>
      <c r="U18" s="23">
        <v>4706</v>
      </c>
      <c r="V18" s="23">
        <v>19462</v>
      </c>
      <c r="W18" s="23">
        <v>7295</v>
      </c>
      <c r="X18" s="23">
        <v>1690</v>
      </c>
      <c r="Z18" s="22">
        <v>2005</v>
      </c>
      <c r="AA18" s="23">
        <v>26</v>
      </c>
      <c r="AB18" s="23">
        <v>248</v>
      </c>
      <c r="AC18" s="23">
        <v>12.8</v>
      </c>
      <c r="AD18" s="23">
        <v>128</v>
      </c>
      <c r="AE18" s="23">
        <v>157</v>
      </c>
      <c r="AF18" s="23">
        <v>63.7</v>
      </c>
    </row>
    <row r="19" spans="1:43" x14ac:dyDescent="0.25">
      <c r="A19" s="22">
        <v>2006</v>
      </c>
      <c r="B19" s="23">
        <v>14515</v>
      </c>
      <c r="C19" s="23">
        <v>815</v>
      </c>
      <c r="D19" s="23">
        <v>3964</v>
      </c>
      <c r="E19" s="23">
        <v>1464</v>
      </c>
      <c r="F19" s="23">
        <v>469</v>
      </c>
      <c r="G19" s="23">
        <v>3277</v>
      </c>
      <c r="H19" s="308"/>
      <c r="I19" s="308"/>
      <c r="J19" s="308"/>
      <c r="K19" s="308"/>
      <c r="L19" s="308"/>
      <c r="M19" s="308"/>
      <c r="N19" s="308"/>
      <c r="O19" s="308"/>
      <c r="P19" s="308"/>
      <c r="R19" s="22">
        <v>2006</v>
      </c>
      <c r="S19" s="23">
        <v>34258</v>
      </c>
      <c r="T19" s="23">
        <v>22421</v>
      </c>
      <c r="U19" s="23">
        <v>5324</v>
      </c>
      <c r="V19" s="23">
        <v>19467</v>
      </c>
      <c r="W19" s="23">
        <v>8058</v>
      </c>
      <c r="X19" s="23">
        <v>1114</v>
      </c>
      <c r="Z19" s="22">
        <v>2006</v>
      </c>
      <c r="AA19" s="23">
        <v>24.1</v>
      </c>
      <c r="AB19" s="23">
        <v>285</v>
      </c>
      <c r="AC19" s="23">
        <v>13.6</v>
      </c>
      <c r="AD19" s="23">
        <v>133</v>
      </c>
      <c r="AE19" s="23">
        <v>171</v>
      </c>
      <c r="AF19" s="23">
        <v>45</v>
      </c>
      <c r="AH19" t="s">
        <v>225</v>
      </c>
      <c r="AI19" t="s">
        <v>227</v>
      </c>
      <c r="AJ19" t="s">
        <v>228</v>
      </c>
      <c r="AK19" t="s">
        <v>229</v>
      </c>
      <c r="AL19" t="s">
        <v>230</v>
      </c>
      <c r="AM19" s="308" t="s">
        <v>231</v>
      </c>
      <c r="AN19" s="308" t="s">
        <v>232</v>
      </c>
      <c r="AO19" t="s">
        <v>233</v>
      </c>
      <c r="AP19" t="s">
        <v>234</v>
      </c>
      <c r="AQ19" t="s">
        <v>226</v>
      </c>
    </row>
    <row r="20" spans="1:43" x14ac:dyDescent="0.25">
      <c r="A20" s="22">
        <v>2007</v>
      </c>
      <c r="B20" s="23">
        <v>15115</v>
      </c>
      <c r="C20" s="23">
        <v>610</v>
      </c>
      <c r="D20" s="23">
        <v>3604</v>
      </c>
      <c r="E20" s="23">
        <v>1453</v>
      </c>
      <c r="F20" s="23">
        <v>451</v>
      </c>
      <c r="G20" s="23">
        <v>3028</v>
      </c>
      <c r="H20" s="308"/>
      <c r="I20" s="308"/>
      <c r="J20" s="308"/>
      <c r="K20" s="308"/>
      <c r="L20" s="308"/>
      <c r="M20" s="308"/>
      <c r="N20" s="308"/>
      <c r="O20" s="308"/>
      <c r="P20" s="308"/>
      <c r="R20" s="22">
        <v>2007</v>
      </c>
      <c r="S20" s="23">
        <v>29295</v>
      </c>
      <c r="T20" s="23">
        <v>16978</v>
      </c>
      <c r="U20" s="23">
        <v>4174</v>
      </c>
      <c r="V20" s="23">
        <v>19102</v>
      </c>
      <c r="W20" s="23">
        <v>6835</v>
      </c>
      <c r="X20" s="23">
        <v>1470</v>
      </c>
      <c r="Z20" s="22">
        <v>2007</v>
      </c>
      <c r="AA20" s="23">
        <v>21.8</v>
      </c>
      <c r="AB20" s="23">
        <v>294</v>
      </c>
      <c r="AC20" s="23">
        <v>12.2</v>
      </c>
      <c r="AD20" s="23">
        <v>131</v>
      </c>
      <c r="AE20" s="23">
        <v>152</v>
      </c>
      <c r="AF20" s="23">
        <v>61.7</v>
      </c>
      <c r="AH20">
        <f>AA20/10</f>
        <v>2.1800000000000002</v>
      </c>
      <c r="AQ20">
        <f t="shared" ref="AQ20:AQ28" si="0">AC20/10</f>
        <v>1.22</v>
      </c>
    </row>
    <row r="21" spans="1:43" x14ac:dyDescent="0.25">
      <c r="A21" s="22">
        <v>2008</v>
      </c>
      <c r="B21" s="23">
        <v>15636</v>
      </c>
      <c r="C21" s="23">
        <v>380</v>
      </c>
      <c r="D21" s="23">
        <v>4306</v>
      </c>
      <c r="E21" s="23">
        <v>1413</v>
      </c>
      <c r="F21" s="23">
        <v>458</v>
      </c>
      <c r="G21" s="23">
        <v>2752</v>
      </c>
      <c r="H21" s="308"/>
      <c r="I21" s="308"/>
      <c r="J21" s="308"/>
      <c r="K21" s="308"/>
      <c r="L21" s="308"/>
      <c r="M21" s="308"/>
      <c r="N21" s="308"/>
      <c r="O21" s="308"/>
      <c r="P21" s="308"/>
      <c r="R21" s="22">
        <v>2008</v>
      </c>
      <c r="S21" s="23">
        <v>53290</v>
      </c>
      <c r="T21" s="23">
        <v>13438</v>
      </c>
      <c r="U21" s="23">
        <v>6526</v>
      </c>
      <c r="V21" s="23">
        <v>19545</v>
      </c>
      <c r="W21" s="23">
        <v>7965</v>
      </c>
      <c r="X21" s="23">
        <v>1504</v>
      </c>
      <c r="Z21" s="22">
        <v>2008</v>
      </c>
      <c r="AA21" s="23">
        <v>34.6</v>
      </c>
      <c r="AB21" s="23">
        <v>356</v>
      </c>
      <c r="AC21" s="23">
        <v>15.3</v>
      </c>
      <c r="AD21" s="23">
        <v>139</v>
      </c>
      <c r="AE21" s="23">
        <v>174</v>
      </c>
      <c r="AF21" s="23">
        <v>64.400000000000006</v>
      </c>
      <c r="AH21">
        <f>AA21/10</f>
        <v>3.46</v>
      </c>
      <c r="AQ21">
        <f t="shared" si="0"/>
        <v>1.53</v>
      </c>
    </row>
    <row r="22" spans="1:43" x14ac:dyDescent="0.25">
      <c r="A22" s="22">
        <v>2009</v>
      </c>
      <c r="B22" s="23">
        <v>15837</v>
      </c>
      <c r="C22" s="23">
        <v>322</v>
      </c>
      <c r="D22" s="23">
        <v>4232</v>
      </c>
      <c r="E22" s="23">
        <v>1409</v>
      </c>
      <c r="F22" s="23">
        <v>451</v>
      </c>
      <c r="G22" s="23">
        <v>2658</v>
      </c>
      <c r="H22" s="308"/>
      <c r="I22" s="308"/>
      <c r="J22" s="308"/>
      <c r="K22" s="308"/>
      <c r="L22" s="308"/>
      <c r="M22" s="308"/>
      <c r="N22" s="308"/>
      <c r="O22" s="308"/>
      <c r="P22" s="308"/>
      <c r="R22" s="22">
        <v>2009</v>
      </c>
      <c r="S22" s="23">
        <v>46028</v>
      </c>
      <c r="T22" s="23">
        <v>10068</v>
      </c>
      <c r="U22" s="23">
        <v>6364</v>
      </c>
      <c r="V22" s="23">
        <v>19666</v>
      </c>
      <c r="W22" s="23">
        <v>8341</v>
      </c>
      <c r="X22" s="23">
        <v>1618</v>
      </c>
      <c r="Z22" s="22">
        <v>2009</v>
      </c>
      <c r="AA22" s="23">
        <v>29.8</v>
      </c>
      <c r="AB22" s="23">
        <v>315</v>
      </c>
      <c r="AC22" s="23">
        <v>15.2</v>
      </c>
      <c r="AD22" s="23">
        <v>139</v>
      </c>
      <c r="AE22" s="23">
        <v>183</v>
      </c>
      <c r="AF22" s="23">
        <v>70.7</v>
      </c>
      <c r="AH22">
        <f t="shared" ref="AH22:AH28" si="1">AA22/10</f>
        <v>2.98</v>
      </c>
      <c r="AQ22">
        <f t="shared" si="0"/>
        <v>1.52</v>
      </c>
    </row>
    <row r="23" spans="1:43" x14ac:dyDescent="0.25">
      <c r="A23" s="22">
        <v>2010</v>
      </c>
      <c r="B23" s="23">
        <v>15090</v>
      </c>
      <c r="C23" s="23">
        <v>501</v>
      </c>
      <c r="D23" s="23">
        <v>4572</v>
      </c>
      <c r="E23" s="23">
        <v>1408</v>
      </c>
      <c r="F23" s="23">
        <v>462</v>
      </c>
      <c r="G23" s="23">
        <v>2599</v>
      </c>
      <c r="H23" s="308"/>
      <c r="I23" s="308"/>
      <c r="J23" s="308"/>
      <c r="K23" s="308"/>
      <c r="L23" s="308"/>
      <c r="M23" s="308"/>
      <c r="N23" s="308"/>
      <c r="O23" s="308"/>
      <c r="P23" s="308"/>
      <c r="R23" s="22">
        <v>2010</v>
      </c>
      <c r="S23" s="23">
        <v>39271</v>
      </c>
      <c r="T23" s="23">
        <v>13749</v>
      </c>
      <c r="U23" s="23">
        <v>6772</v>
      </c>
      <c r="V23" s="23">
        <v>18705</v>
      </c>
      <c r="W23" s="23">
        <v>8122</v>
      </c>
      <c r="X23" s="23">
        <v>1747</v>
      </c>
      <c r="Z23" s="22">
        <v>2010</v>
      </c>
      <c r="AA23" s="23">
        <v>26.9</v>
      </c>
      <c r="AB23" s="23">
        <v>279</v>
      </c>
      <c r="AC23" s="23">
        <v>15</v>
      </c>
      <c r="AD23" s="23">
        <v>132</v>
      </c>
      <c r="AE23" s="23">
        <v>174</v>
      </c>
      <c r="AF23" s="23">
        <v>78.2</v>
      </c>
      <c r="AH23">
        <f t="shared" si="1"/>
        <v>2.69</v>
      </c>
      <c r="AQ23">
        <f t="shared" si="0"/>
        <v>1.5</v>
      </c>
    </row>
    <row r="24" spans="1:43" x14ac:dyDescent="0.25">
      <c r="A24" s="22">
        <v>2011</v>
      </c>
      <c r="B24" s="23">
        <v>15724</v>
      </c>
      <c r="C24" s="23">
        <v>532</v>
      </c>
      <c r="D24" s="23">
        <v>4739</v>
      </c>
      <c r="E24" s="23">
        <v>1439</v>
      </c>
      <c r="F24" s="23">
        <v>498</v>
      </c>
      <c r="G24" s="23">
        <v>2477</v>
      </c>
      <c r="H24" s="308"/>
      <c r="I24" s="308"/>
      <c r="J24" s="308"/>
      <c r="K24" s="308"/>
      <c r="L24" s="308"/>
      <c r="M24" s="308"/>
      <c r="N24" s="308"/>
      <c r="O24" s="308"/>
      <c r="P24" s="308"/>
      <c r="R24" s="22">
        <v>2011</v>
      </c>
      <c r="S24" s="23">
        <v>56747</v>
      </c>
      <c r="T24" s="23">
        <v>18740</v>
      </c>
      <c r="U24" s="23">
        <v>8671</v>
      </c>
      <c r="V24" s="23">
        <v>24248</v>
      </c>
      <c r="W24" s="23">
        <v>9833</v>
      </c>
      <c r="X24" s="23">
        <v>1896</v>
      </c>
      <c r="Z24" s="22">
        <v>2011</v>
      </c>
      <c r="AA24" s="24">
        <v>37</v>
      </c>
      <c r="AB24" s="23">
        <v>363</v>
      </c>
      <c r="AC24" s="24">
        <v>18.399999999999999</v>
      </c>
      <c r="AD24" s="23">
        <v>168</v>
      </c>
      <c r="AE24" s="23">
        <v>195</v>
      </c>
      <c r="AF24" s="24">
        <v>84.9</v>
      </c>
      <c r="AH24">
        <f t="shared" si="1"/>
        <v>3.7</v>
      </c>
      <c r="AQ24">
        <f t="shared" si="0"/>
        <v>1.8399999999999999</v>
      </c>
    </row>
    <row r="25" spans="1:43" x14ac:dyDescent="0.25">
      <c r="A25" s="22">
        <v>2012</v>
      </c>
      <c r="B25" s="23">
        <v>15449</v>
      </c>
      <c r="C25" s="23">
        <v>458</v>
      </c>
      <c r="D25" s="23">
        <v>5194</v>
      </c>
      <c r="E25" s="23">
        <v>1440</v>
      </c>
      <c r="F25" s="23">
        <v>494</v>
      </c>
      <c r="G25" s="23">
        <v>2475</v>
      </c>
      <c r="H25" s="308"/>
      <c r="I25" s="308"/>
      <c r="J25" s="308"/>
      <c r="K25" s="308"/>
      <c r="L25" s="308"/>
      <c r="M25" s="308"/>
      <c r="N25" s="308"/>
      <c r="O25" s="308"/>
      <c r="P25" s="308"/>
      <c r="R25" s="22">
        <v>2012</v>
      </c>
      <c r="S25" s="23">
        <v>46216</v>
      </c>
      <c r="T25" s="23">
        <v>18439</v>
      </c>
      <c r="U25" s="23">
        <v>8387</v>
      </c>
      <c r="V25" s="23">
        <v>23250</v>
      </c>
      <c r="W25" s="23">
        <v>10017</v>
      </c>
      <c r="X25" s="23">
        <v>2009</v>
      </c>
      <c r="Z25" s="22">
        <v>2012</v>
      </c>
      <c r="AA25" s="23">
        <v>31.2</v>
      </c>
      <c r="AB25" s="23">
        <v>411</v>
      </c>
      <c r="AC25" s="23">
        <v>16.5</v>
      </c>
      <c r="AD25" s="23">
        <v>161</v>
      </c>
      <c r="AE25" s="23">
        <v>199</v>
      </c>
      <c r="AF25" s="23">
        <v>89.9</v>
      </c>
      <c r="AH25">
        <f t="shared" si="1"/>
        <v>3.12</v>
      </c>
      <c r="AQ25">
        <f t="shared" si="0"/>
        <v>1.65</v>
      </c>
    </row>
    <row r="26" spans="1:43" x14ac:dyDescent="0.25">
      <c r="A26" s="22">
        <v>2013</v>
      </c>
      <c r="B26" s="23">
        <v>16210</v>
      </c>
      <c r="C26" s="23">
        <v>280</v>
      </c>
      <c r="D26" s="23">
        <v>5051</v>
      </c>
      <c r="E26" s="23">
        <v>1388</v>
      </c>
      <c r="F26" s="23">
        <v>483</v>
      </c>
      <c r="G26" s="23">
        <v>2289</v>
      </c>
      <c r="H26" s="308"/>
      <c r="I26" s="308"/>
      <c r="J26" s="308"/>
      <c r="K26" s="308"/>
      <c r="L26" s="308"/>
      <c r="M26" s="308"/>
      <c r="N26" s="308"/>
      <c r="O26" s="308"/>
      <c r="P26" s="308"/>
      <c r="R26" s="22">
        <v>2013</v>
      </c>
      <c r="S26" s="23">
        <v>63051</v>
      </c>
      <c r="T26" s="23">
        <v>10789</v>
      </c>
      <c r="U26" s="23">
        <v>11051</v>
      </c>
      <c r="V26" s="23">
        <v>22259</v>
      </c>
      <c r="W26" s="23">
        <v>9873</v>
      </c>
      <c r="X26" s="23">
        <v>2295</v>
      </c>
      <c r="Z26" s="22">
        <v>2013</v>
      </c>
      <c r="AA26" s="23">
        <v>39.9</v>
      </c>
      <c r="AB26" s="23">
        <v>399</v>
      </c>
      <c r="AC26" s="23">
        <v>21.7</v>
      </c>
      <c r="AD26" s="23">
        <v>160</v>
      </c>
      <c r="AE26" s="23">
        <v>200</v>
      </c>
      <c r="AF26" s="23">
        <v>103.5</v>
      </c>
      <c r="AH26">
        <f t="shared" si="1"/>
        <v>3.9899999999999998</v>
      </c>
      <c r="AQ26">
        <f t="shared" si="0"/>
        <v>2.17</v>
      </c>
    </row>
    <row r="27" spans="1:43" ht="25.2" x14ac:dyDescent="0.25">
      <c r="A27" s="22">
        <v>2014</v>
      </c>
      <c r="B27" s="23">
        <v>14801</v>
      </c>
      <c r="C27" s="23">
        <v>331</v>
      </c>
      <c r="D27" s="23">
        <v>5257</v>
      </c>
      <c r="E27" s="23">
        <v>1348</v>
      </c>
      <c r="F27" s="23">
        <v>463</v>
      </c>
      <c r="G27" s="23">
        <v>2101</v>
      </c>
      <c r="H27" s="308" t="s">
        <v>227</v>
      </c>
      <c r="I27" s="308" t="s">
        <v>228</v>
      </c>
      <c r="J27" s="308" t="s">
        <v>229</v>
      </c>
      <c r="K27" s="308" t="s">
        <v>230</v>
      </c>
      <c r="L27" s="308" t="s">
        <v>231</v>
      </c>
      <c r="M27" s="308" t="s">
        <v>232</v>
      </c>
      <c r="N27" s="308" t="s">
        <v>233</v>
      </c>
      <c r="O27" s="308" t="s">
        <v>234</v>
      </c>
      <c r="P27" s="308" t="s">
        <v>226</v>
      </c>
      <c r="R27" s="22">
        <v>2014</v>
      </c>
      <c r="S27" s="23">
        <v>63859</v>
      </c>
      <c r="T27" s="23">
        <v>15734</v>
      </c>
      <c r="U27" s="23">
        <v>10134</v>
      </c>
      <c r="V27" s="23">
        <v>23693</v>
      </c>
      <c r="W27" s="23">
        <v>9638</v>
      </c>
      <c r="X27" s="23">
        <v>1999</v>
      </c>
      <c r="Z27" s="22">
        <v>2014</v>
      </c>
      <c r="AA27" s="23">
        <v>43.7</v>
      </c>
      <c r="AB27" s="23">
        <v>477</v>
      </c>
      <c r="AC27" s="23">
        <v>19.399999999999999</v>
      </c>
      <c r="AD27" s="23">
        <v>176</v>
      </c>
      <c r="AE27" s="23">
        <v>208</v>
      </c>
      <c r="AF27" s="23">
        <v>95.2</v>
      </c>
      <c r="AH27">
        <f t="shared" si="1"/>
        <v>4.37</v>
      </c>
      <c r="AQ27">
        <f t="shared" si="0"/>
        <v>1.94</v>
      </c>
    </row>
    <row r="28" spans="1:43" x14ac:dyDescent="0.25">
      <c r="A28" s="22">
        <v>2015</v>
      </c>
      <c r="B28" s="23">
        <v>14739</v>
      </c>
      <c r="C28" s="23">
        <v>237</v>
      </c>
      <c r="D28" s="23">
        <v>5105</v>
      </c>
      <c r="E28" s="23">
        <v>1291</v>
      </c>
      <c r="F28" s="23">
        <v>440</v>
      </c>
      <c r="G28" s="23">
        <v>1990</v>
      </c>
      <c r="H28" s="308">
        <v>7.12</v>
      </c>
      <c r="I28" s="310">
        <v>7.62</v>
      </c>
      <c r="J28" s="308">
        <v>4.09</v>
      </c>
      <c r="K28" s="308">
        <v>3</v>
      </c>
      <c r="L28" s="308">
        <v>0.22</v>
      </c>
      <c r="M28" s="308">
        <v>0.15</v>
      </c>
      <c r="N28" s="308">
        <v>2.14</v>
      </c>
      <c r="O28" s="308">
        <v>0.68</v>
      </c>
      <c r="P28" s="308">
        <v>5.5</v>
      </c>
      <c r="R28" s="22">
        <v>2015</v>
      </c>
      <c r="S28" s="23">
        <v>60126</v>
      </c>
      <c r="T28" s="23">
        <v>10331</v>
      </c>
      <c r="U28" s="23">
        <v>11181</v>
      </c>
      <c r="V28" s="23">
        <v>20839</v>
      </c>
      <c r="W28" s="23">
        <v>9214</v>
      </c>
      <c r="X28" s="23">
        <v>2153</v>
      </c>
      <c r="Z28" s="22">
        <v>2015</v>
      </c>
      <c r="AA28" s="23">
        <v>41.1</v>
      </c>
      <c r="AB28" s="23">
        <v>436</v>
      </c>
      <c r="AC28" s="23">
        <v>21.6</v>
      </c>
      <c r="AD28" s="23">
        <v>161</v>
      </c>
      <c r="AE28" s="23">
        <v>206</v>
      </c>
      <c r="AF28" s="23">
        <v>104.5</v>
      </c>
      <c r="AH28">
        <f t="shared" si="1"/>
        <v>4.1100000000000003</v>
      </c>
      <c r="AI28">
        <v>3.8441999999999998</v>
      </c>
      <c r="AJ28">
        <v>4.38</v>
      </c>
      <c r="AK28">
        <v>5.71</v>
      </c>
      <c r="AL28">
        <v>2.92</v>
      </c>
      <c r="AM28">
        <v>2.29</v>
      </c>
      <c r="AN28">
        <v>2.59</v>
      </c>
      <c r="AO28">
        <v>1.84</v>
      </c>
      <c r="AP28">
        <v>2.58</v>
      </c>
      <c r="AQ28">
        <f t="shared" si="0"/>
        <v>2.16</v>
      </c>
    </row>
    <row r="29" spans="1:43" x14ac:dyDescent="0.25">
      <c r="H29">
        <v>6.45</v>
      </c>
      <c r="I29" s="311">
        <v>7.83</v>
      </c>
      <c r="J29">
        <v>4.25</v>
      </c>
      <c r="K29">
        <v>3.05</v>
      </c>
      <c r="L29">
        <v>0.21</v>
      </c>
      <c r="M29">
        <v>0.14000000000000001</v>
      </c>
      <c r="N29">
        <v>1.85</v>
      </c>
      <c r="O29">
        <v>0.45</v>
      </c>
      <c r="P29">
        <v>6.2</v>
      </c>
      <c r="AH29" s="309">
        <f>(AJ29*I29+AI29*H29)/(H29+I29)</f>
        <v>4.623813025210084</v>
      </c>
      <c r="AI29">
        <v>4.1550000000000002</v>
      </c>
      <c r="AJ29">
        <v>5.01</v>
      </c>
      <c r="AK29">
        <v>6.59</v>
      </c>
      <c r="AL29">
        <v>3.25</v>
      </c>
      <c r="AM29">
        <v>2.4</v>
      </c>
      <c r="AN29">
        <v>2.71</v>
      </c>
      <c r="AO29">
        <v>2.31</v>
      </c>
      <c r="AP29">
        <v>2.67</v>
      </c>
      <c r="AQ29">
        <v>2.2200000000000002</v>
      </c>
    </row>
    <row r="30" spans="1:43" x14ac:dyDescent="0.25">
      <c r="H30">
        <v>6.6</v>
      </c>
      <c r="I30" s="311">
        <v>7.46</v>
      </c>
      <c r="J30">
        <v>4.3</v>
      </c>
      <c r="K30">
        <v>2.6</v>
      </c>
      <c r="L30">
        <v>0.21</v>
      </c>
      <c r="M30">
        <v>0.17</v>
      </c>
      <c r="N30">
        <v>2</v>
      </c>
      <c r="O30">
        <v>0.85</v>
      </c>
      <c r="P30">
        <v>6</v>
      </c>
      <c r="AH30" s="309">
        <f>(AJ30*I30+AI30*H30)/(H30+I30)</f>
        <v>4.4230298719772403</v>
      </c>
      <c r="AI30">
        <v>3.85</v>
      </c>
      <c r="AJ30">
        <v>4.93</v>
      </c>
      <c r="AK30">
        <v>6.51</v>
      </c>
      <c r="AL30">
        <v>2.85</v>
      </c>
      <c r="AM30">
        <v>2.38</v>
      </c>
      <c r="AN30">
        <v>2.65</v>
      </c>
      <c r="AO30">
        <v>2.2999999999999998</v>
      </c>
      <c r="AP30">
        <v>2.4700000000000002</v>
      </c>
      <c r="AQ30">
        <v>2.25</v>
      </c>
    </row>
  </sheetData>
  <mergeCells count="6">
    <mergeCell ref="AA1:AF1"/>
    <mergeCell ref="Z1:Z2"/>
    <mergeCell ref="A1:A2"/>
    <mergeCell ref="B1:G1"/>
    <mergeCell ref="R1:R2"/>
    <mergeCell ref="S1:X1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5" sqref="K5"/>
    </sheetView>
  </sheetViews>
  <sheetFormatPr defaultRowHeight="13.2" x14ac:dyDescent="0.25"/>
  <cols>
    <col min="1" max="1" width="34.33203125" bestFit="1" customWidth="1"/>
    <col min="13" max="13" width="1.109375" customWidth="1"/>
    <col min="14" max="14" width="6.5546875" bestFit="1" customWidth="1"/>
    <col min="15" max="15" width="5.5546875" bestFit="1" customWidth="1"/>
    <col min="16" max="16" width="8.33203125" bestFit="1" customWidth="1"/>
  </cols>
  <sheetData>
    <row r="1" spans="1:16" x14ac:dyDescent="0.25">
      <c r="A1" s="5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7"/>
    </row>
    <row r="2" spans="1:16" x14ac:dyDescent="0.25">
      <c r="A2" s="12" t="s">
        <v>20</v>
      </c>
      <c r="B2" s="12" t="s">
        <v>3</v>
      </c>
      <c r="C2" s="12" t="s">
        <v>4</v>
      </c>
      <c r="D2" s="12" t="s">
        <v>5</v>
      </c>
      <c r="E2" s="12" t="s">
        <v>6</v>
      </c>
      <c r="F2" s="12" t="s">
        <v>7</v>
      </c>
      <c r="G2" s="12" t="s">
        <v>8</v>
      </c>
      <c r="H2" s="12" t="s">
        <v>9</v>
      </c>
      <c r="I2" s="12" t="s">
        <v>10</v>
      </c>
      <c r="J2" s="12" t="s">
        <v>11</v>
      </c>
      <c r="K2" s="12" t="s">
        <v>12</v>
      </c>
      <c r="L2" s="12" t="s">
        <v>13</v>
      </c>
      <c r="N2" s="31" t="s">
        <v>140</v>
      </c>
      <c r="O2" s="31" t="s">
        <v>141</v>
      </c>
      <c r="P2" s="31" t="s">
        <v>142</v>
      </c>
    </row>
    <row r="3" spans="1:16" x14ac:dyDescent="0.25">
      <c r="A3" s="1" t="s">
        <v>14</v>
      </c>
      <c r="B3" s="1">
        <v>215.2</v>
      </c>
      <c r="C3" s="1">
        <v>350.4</v>
      </c>
      <c r="D3" s="1">
        <v>663.1</v>
      </c>
      <c r="E3" s="1">
        <v>1047.0999999999999</v>
      </c>
      <c r="F3" s="1">
        <v>1020.5</v>
      </c>
      <c r="G3" s="1">
        <v>1899.1</v>
      </c>
      <c r="H3" s="1">
        <v>2071.8000000000002</v>
      </c>
      <c r="I3" s="1">
        <v>2796.8</v>
      </c>
      <c r="J3" s="1">
        <v>2393.3000000000002</v>
      </c>
      <c r="K3" s="1">
        <v>2329.5</v>
      </c>
      <c r="L3" s="1">
        <v>1988.5</v>
      </c>
    </row>
    <row r="4" spans="1:16" x14ac:dyDescent="0.25">
      <c r="A4" s="1" t="s">
        <v>21</v>
      </c>
      <c r="B4" s="1">
        <v>17</v>
      </c>
      <c r="C4" s="1">
        <v>46.4</v>
      </c>
      <c r="D4" s="1">
        <v>123.2</v>
      </c>
      <c r="E4" s="1">
        <v>190.1</v>
      </c>
      <c r="F4" s="1">
        <v>190</v>
      </c>
      <c r="G4" s="1">
        <v>309.60000000000002</v>
      </c>
      <c r="H4" s="1">
        <v>318.8</v>
      </c>
      <c r="I4" s="1">
        <v>287.5</v>
      </c>
      <c r="J4" s="1">
        <v>223</v>
      </c>
      <c r="K4" s="1">
        <v>396.6</v>
      </c>
      <c r="L4" s="1">
        <v>346.4</v>
      </c>
      <c r="N4" s="33">
        <f>AVERAGE(F4:L4)</f>
        <v>295.98571428571432</v>
      </c>
      <c r="O4" s="33">
        <f>STDEV(F4:L4)</f>
        <v>70.71370514432185</v>
      </c>
      <c r="P4" s="28">
        <f>ABS(O4/N4)</f>
        <v>0.23890918288056995</v>
      </c>
    </row>
    <row r="5" spans="1:16" x14ac:dyDescent="0.25">
      <c r="A5" s="8" t="s">
        <v>22</v>
      </c>
      <c r="B5" s="9" t="s">
        <v>15</v>
      </c>
      <c r="C5" s="9" t="s">
        <v>15</v>
      </c>
      <c r="D5" s="9">
        <v>81.099999999999994</v>
      </c>
      <c r="E5" s="9">
        <v>89.4</v>
      </c>
      <c r="F5" s="9">
        <v>101.2</v>
      </c>
      <c r="G5" s="9">
        <v>202.3</v>
      </c>
      <c r="H5" s="9">
        <v>198.5</v>
      </c>
      <c r="I5" s="9">
        <v>199.3</v>
      </c>
      <c r="J5" s="9">
        <v>177.8</v>
      </c>
      <c r="K5" s="9">
        <v>213.1</v>
      </c>
      <c r="L5" s="9">
        <v>128.80000000000001</v>
      </c>
      <c r="N5" s="34">
        <f>AVERAGE(F5:L5)</f>
        <v>174.42857142857139</v>
      </c>
      <c r="O5" s="34">
        <f>STDEV(F5:L5)</f>
        <v>42.673321653609278</v>
      </c>
      <c r="P5" s="35">
        <f>ABS(O5/N5)</f>
        <v>0.24464639768653973</v>
      </c>
    </row>
    <row r="6" spans="1:16" x14ac:dyDescent="0.25">
      <c r="A6" s="8" t="s">
        <v>23</v>
      </c>
      <c r="B6" s="9" t="s">
        <v>15</v>
      </c>
      <c r="C6" s="9" t="s">
        <v>15</v>
      </c>
      <c r="D6" s="9">
        <v>39.9</v>
      </c>
      <c r="E6" s="9">
        <v>111.6</v>
      </c>
      <c r="F6" s="9">
        <v>79.8</v>
      </c>
      <c r="G6" s="9">
        <v>93.6</v>
      </c>
      <c r="H6" s="9">
        <v>59</v>
      </c>
      <c r="I6" s="9">
        <v>59</v>
      </c>
      <c r="J6" s="9">
        <v>125.8</v>
      </c>
      <c r="K6" s="9">
        <v>114.5</v>
      </c>
      <c r="L6" s="9">
        <v>107.1</v>
      </c>
      <c r="N6" s="34">
        <f>AVERAGE(F6:L6)</f>
        <v>91.257142857142867</v>
      </c>
      <c r="O6" s="34">
        <f>STDEV(F6:L6)</f>
        <v>26.464558510257724</v>
      </c>
      <c r="P6" s="35">
        <f>ABS(O6/N6)</f>
        <v>0.28999985844051979</v>
      </c>
    </row>
    <row r="7" spans="1:16" x14ac:dyDescent="0.25">
      <c r="A7" s="8" t="s">
        <v>16</v>
      </c>
      <c r="B7" s="9" t="s">
        <v>15</v>
      </c>
      <c r="C7" s="9" t="s">
        <v>15</v>
      </c>
      <c r="D7" s="9">
        <v>19.899999999999999</v>
      </c>
      <c r="E7" s="9">
        <v>6.9</v>
      </c>
      <c r="F7" s="9">
        <v>23.1</v>
      </c>
      <c r="G7" s="9">
        <v>31.5</v>
      </c>
      <c r="H7" s="9">
        <v>73.8</v>
      </c>
      <c r="I7" s="9">
        <v>67.3</v>
      </c>
      <c r="J7" s="9">
        <v>-44.3</v>
      </c>
      <c r="K7" s="9">
        <v>97.9</v>
      </c>
      <c r="L7" s="9">
        <v>145.9</v>
      </c>
      <c r="N7" s="34">
        <f>AVERAGE(F7:L7)</f>
        <v>56.457142857142856</v>
      </c>
      <c r="O7" s="34">
        <f>STDEV(F7:L7)</f>
        <v>60.5852528025002</v>
      </c>
      <c r="P7" s="35">
        <f>ABS(O7/N7)</f>
        <v>1.0731193563195887</v>
      </c>
    </row>
    <row r="8" spans="1:16" x14ac:dyDescent="0.25">
      <c r="A8" s="8" t="s">
        <v>24</v>
      </c>
      <c r="B8" s="9" t="s">
        <v>15</v>
      </c>
      <c r="C8" s="9" t="s">
        <v>15</v>
      </c>
      <c r="D8" s="9">
        <v>-17.7</v>
      </c>
      <c r="E8" s="9">
        <v>-17.8</v>
      </c>
      <c r="F8" s="9">
        <v>-14</v>
      </c>
      <c r="G8" s="9">
        <v>-17.8</v>
      </c>
      <c r="H8" s="9">
        <v>-12.4</v>
      </c>
      <c r="I8" s="9">
        <v>-38.1</v>
      </c>
      <c r="J8" s="9">
        <v>-36.299999999999997</v>
      </c>
      <c r="K8" s="9">
        <v>-29</v>
      </c>
      <c r="L8" s="9">
        <v>-35.5</v>
      </c>
      <c r="N8" s="34">
        <f>AVERAGE(F8:L8)</f>
        <v>-26.157142857142862</v>
      </c>
      <c r="O8" s="34">
        <f>STDEV(F8:L8)</f>
        <v>11.163759394107505</v>
      </c>
      <c r="P8" s="35">
        <f>ABS(O8/N8)</f>
        <v>0.42679582609913991</v>
      </c>
    </row>
    <row r="9" spans="1:16" x14ac:dyDescent="0.25">
      <c r="A9" s="1" t="s">
        <v>25</v>
      </c>
      <c r="B9" s="1">
        <v>1.3</v>
      </c>
      <c r="C9" s="1">
        <v>19.5</v>
      </c>
      <c r="D9" s="1">
        <v>83.2</v>
      </c>
      <c r="E9" s="1">
        <v>135.5</v>
      </c>
      <c r="F9" s="1">
        <v>152</v>
      </c>
      <c r="G9" s="1">
        <v>226.3</v>
      </c>
      <c r="H9" s="1">
        <v>206.7</v>
      </c>
      <c r="I9" s="1">
        <v>111.6</v>
      </c>
      <c r="J9" s="1">
        <v>-98.3</v>
      </c>
      <c r="K9" s="1">
        <v>106.9</v>
      </c>
      <c r="L9" s="1">
        <v>225.2</v>
      </c>
    </row>
    <row r="10" spans="1:16" x14ac:dyDescent="0.25">
      <c r="A10" s="1" t="s">
        <v>26</v>
      </c>
      <c r="B10" s="2">
        <v>7.9000000000000001E-2</v>
      </c>
      <c r="C10" s="2">
        <v>0.13200000000000001</v>
      </c>
      <c r="D10" s="2">
        <v>0.186</v>
      </c>
      <c r="E10" s="2">
        <v>0.182</v>
      </c>
      <c r="F10" s="2">
        <v>0.186</v>
      </c>
      <c r="G10" s="2">
        <v>0.16300000000000001</v>
      </c>
      <c r="H10" s="2">
        <v>0.154</v>
      </c>
      <c r="I10" s="2">
        <v>0.10299999999999999</v>
      </c>
      <c r="J10" s="2">
        <v>9.2999999999999999E-2</v>
      </c>
      <c r="K10" s="2">
        <v>0.17</v>
      </c>
      <c r="L10" s="2">
        <v>0.17399999999999999</v>
      </c>
    </row>
    <row r="11" spans="1:16" x14ac:dyDescent="0.25">
      <c r="A11" s="3" t="s">
        <v>27</v>
      </c>
      <c r="B11" s="4">
        <v>6.0000000000000001E-3</v>
      </c>
      <c r="C11" s="4">
        <v>5.6000000000000001E-2</v>
      </c>
      <c r="D11" s="4">
        <v>0.126</v>
      </c>
      <c r="E11" s="4">
        <v>0.129</v>
      </c>
      <c r="F11" s="4">
        <v>0.14899999999999999</v>
      </c>
      <c r="G11" s="4">
        <v>0.11899999999999999</v>
      </c>
      <c r="H11" s="4">
        <v>0.1</v>
      </c>
      <c r="I11" s="4">
        <v>0.04</v>
      </c>
      <c r="J11" s="4">
        <v>-4.1000000000000002E-2</v>
      </c>
      <c r="K11" s="4">
        <v>4.5999999999999999E-2</v>
      </c>
      <c r="L11" s="4">
        <v>0.113</v>
      </c>
    </row>
    <row r="12" spans="1:16" x14ac:dyDescent="0.25">
      <c r="A12" s="5" t="s">
        <v>1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7"/>
    </row>
    <row r="13" spans="1:16" x14ac:dyDescent="0.25">
      <c r="A13" s="1" t="s">
        <v>17</v>
      </c>
      <c r="B13" s="1">
        <v>17</v>
      </c>
      <c r="C13" s="1">
        <v>46.4</v>
      </c>
      <c r="D13" s="1">
        <v>123.2</v>
      </c>
      <c r="E13" s="1">
        <v>190.1</v>
      </c>
      <c r="F13" s="1">
        <v>190</v>
      </c>
      <c r="G13" s="1">
        <v>309.60000000000002</v>
      </c>
      <c r="H13" s="1">
        <v>318.8</v>
      </c>
      <c r="I13" s="1">
        <v>287.5</v>
      </c>
      <c r="J13" s="1">
        <v>223</v>
      </c>
      <c r="K13" s="1">
        <v>396.6</v>
      </c>
      <c r="L13" s="1">
        <v>346.4</v>
      </c>
    </row>
    <row r="14" spans="1:16" x14ac:dyDescent="0.25">
      <c r="A14" s="1" t="s">
        <v>28</v>
      </c>
      <c r="B14" s="1">
        <v>-6</v>
      </c>
      <c r="C14" s="1">
        <v>2.2000000000000002</v>
      </c>
      <c r="D14" s="1">
        <v>-24.4</v>
      </c>
      <c r="E14" s="1">
        <v>-88.6</v>
      </c>
      <c r="F14" s="1">
        <v>-56.2</v>
      </c>
      <c r="G14" s="1">
        <v>-48.1</v>
      </c>
      <c r="H14" s="1">
        <v>-93.1</v>
      </c>
      <c r="I14" s="1">
        <v>-90.9</v>
      </c>
      <c r="J14" s="1">
        <v>-41.7</v>
      </c>
      <c r="K14" s="1">
        <v>-22.7</v>
      </c>
      <c r="L14" s="1">
        <v>-30.4</v>
      </c>
    </row>
    <row r="15" spans="1:16" x14ac:dyDescent="0.25">
      <c r="A15" s="1" t="s">
        <v>29</v>
      </c>
      <c r="B15" s="1">
        <v>-9.4</v>
      </c>
      <c r="C15" s="1">
        <v>-18.399999999999999</v>
      </c>
      <c r="D15" s="1">
        <v>-28.1</v>
      </c>
      <c r="E15" s="1">
        <v>-32.200000000000003</v>
      </c>
      <c r="F15" s="1">
        <v>-22.8</v>
      </c>
      <c r="G15" s="1">
        <v>-36</v>
      </c>
      <c r="H15" s="1">
        <v>-66.8</v>
      </c>
      <c r="I15" s="1">
        <v>-76.2</v>
      </c>
      <c r="J15" s="1">
        <v>-72</v>
      </c>
      <c r="K15" s="1">
        <v>-68.400000000000006</v>
      </c>
      <c r="L15" s="1">
        <v>-57.6</v>
      </c>
    </row>
    <row r="16" spans="1:16" x14ac:dyDescent="0.25">
      <c r="A16" s="1" t="s">
        <v>30</v>
      </c>
      <c r="B16" s="1">
        <v>-0.4</v>
      </c>
      <c r="C16" s="1">
        <v>-0.7</v>
      </c>
      <c r="D16" s="1">
        <v>-3.4</v>
      </c>
      <c r="E16" s="1">
        <v>-1.7</v>
      </c>
      <c r="F16" s="1">
        <v>-0.8</v>
      </c>
      <c r="G16" s="1">
        <v>-3</v>
      </c>
      <c r="H16" s="1">
        <v>-6.5</v>
      </c>
      <c r="I16" s="1">
        <v>-43.4</v>
      </c>
      <c r="J16" s="1">
        <v>-40.200000000000003</v>
      </c>
      <c r="K16" s="1">
        <v>-13</v>
      </c>
      <c r="L16" s="1">
        <v>-2.8</v>
      </c>
    </row>
    <row r="17" spans="1:12" x14ac:dyDescent="0.25">
      <c r="A17" s="1" t="s">
        <v>31</v>
      </c>
      <c r="B17" s="1">
        <v>-0.4</v>
      </c>
      <c r="C17" s="1">
        <v>-1</v>
      </c>
      <c r="D17" s="1">
        <v>-7.1</v>
      </c>
      <c r="E17" s="1">
        <v>-1.9</v>
      </c>
      <c r="F17" s="1">
        <v>15.7</v>
      </c>
      <c r="G17" s="1">
        <v>-34.4</v>
      </c>
      <c r="H17" s="1">
        <v>-27.4</v>
      </c>
      <c r="I17" s="1">
        <v>0.5</v>
      </c>
      <c r="J17" s="1">
        <v>-27.5</v>
      </c>
      <c r="K17" s="1">
        <v>-57.8</v>
      </c>
      <c r="L17" s="1">
        <v>-15.9</v>
      </c>
    </row>
    <row r="18" spans="1:12" x14ac:dyDescent="0.25">
      <c r="A18" s="11" t="s">
        <v>32</v>
      </c>
      <c r="B18" s="11">
        <v>0.8</v>
      </c>
      <c r="C18" s="11">
        <v>28.5</v>
      </c>
      <c r="D18" s="11">
        <v>60.2</v>
      </c>
      <c r="E18" s="11">
        <v>65.599999999999994</v>
      </c>
      <c r="F18" s="11">
        <v>126</v>
      </c>
      <c r="G18" s="11">
        <v>188.2</v>
      </c>
      <c r="H18" s="11">
        <v>125</v>
      </c>
      <c r="I18" s="11">
        <v>77.599999999999994</v>
      </c>
      <c r="J18" s="11">
        <v>41.6</v>
      </c>
      <c r="K18" s="11">
        <v>234.6</v>
      </c>
      <c r="L18" s="11">
        <v>239.7</v>
      </c>
    </row>
    <row r="19" spans="1:12" x14ac:dyDescent="0.25">
      <c r="A19" s="1" t="s">
        <v>33</v>
      </c>
      <c r="B19" s="1" t="s">
        <v>15</v>
      </c>
      <c r="C19" s="1" t="s">
        <v>15</v>
      </c>
      <c r="D19" s="1" t="s">
        <v>15</v>
      </c>
      <c r="E19" s="1" t="s">
        <v>15</v>
      </c>
      <c r="F19" s="1" t="s">
        <v>15</v>
      </c>
      <c r="G19" s="1" t="s">
        <v>15</v>
      </c>
      <c r="H19" s="1" t="s">
        <v>15</v>
      </c>
      <c r="I19" s="1" t="s">
        <v>15</v>
      </c>
      <c r="J19" s="1" t="s">
        <v>15</v>
      </c>
      <c r="K19" s="1">
        <v>-19.899999999999999</v>
      </c>
      <c r="L19" s="1">
        <v>-19.899999999999999</v>
      </c>
    </row>
    <row r="20" spans="1:12" x14ac:dyDescent="0.25">
      <c r="A20" s="1" t="s">
        <v>34</v>
      </c>
      <c r="B20" s="1">
        <v>-35.799999999999997</v>
      </c>
      <c r="C20" s="1">
        <v>-14.7</v>
      </c>
      <c r="D20" s="1">
        <v>-210.3</v>
      </c>
      <c r="E20" s="1">
        <v>-25</v>
      </c>
      <c r="F20" s="1">
        <v>-97.4</v>
      </c>
      <c r="G20" s="1">
        <v>-180.1</v>
      </c>
      <c r="H20" s="1">
        <v>-242.1</v>
      </c>
      <c r="I20" s="1">
        <v>135.4</v>
      </c>
      <c r="J20" s="1">
        <v>-0.9</v>
      </c>
      <c r="K20" s="1">
        <v>147.4</v>
      </c>
      <c r="L20" s="1">
        <v>-136.30000000000001</v>
      </c>
    </row>
    <row r="21" spans="1:12" x14ac:dyDescent="0.25">
      <c r="A21" s="1" t="s">
        <v>35</v>
      </c>
      <c r="B21" s="1">
        <v>0.6</v>
      </c>
      <c r="C21" s="1">
        <v>-59.4</v>
      </c>
      <c r="D21" s="1">
        <v>-145.69999999999999</v>
      </c>
      <c r="E21" s="1">
        <v>-6.7</v>
      </c>
      <c r="F21" s="1">
        <v>-69.400000000000006</v>
      </c>
      <c r="G21" s="1">
        <v>-78</v>
      </c>
      <c r="H21" s="1">
        <v>-136.1</v>
      </c>
      <c r="I21" s="1">
        <v>-175.2</v>
      </c>
      <c r="J21" s="1">
        <v>-41.5</v>
      </c>
      <c r="K21" s="1">
        <v>-1.6</v>
      </c>
      <c r="L21" s="1">
        <v>-30.4</v>
      </c>
    </row>
    <row r="22" spans="1:12" x14ac:dyDescent="0.25">
      <c r="A22" s="3" t="s">
        <v>36</v>
      </c>
      <c r="B22" s="3">
        <v>-34.4</v>
      </c>
      <c r="C22" s="3">
        <v>-45.7</v>
      </c>
      <c r="D22" s="3">
        <v>-295.7</v>
      </c>
      <c r="E22" s="3">
        <v>34</v>
      </c>
      <c r="F22" s="3">
        <v>-40.9</v>
      </c>
      <c r="G22" s="3">
        <v>-69.900000000000006</v>
      </c>
      <c r="H22" s="3">
        <v>-253.2</v>
      </c>
      <c r="I22" s="3">
        <v>37.799999999999997</v>
      </c>
      <c r="J22" s="3">
        <v>-0.7</v>
      </c>
      <c r="K22" s="3">
        <v>360.5</v>
      </c>
      <c r="L22" s="3">
        <v>53.1</v>
      </c>
    </row>
    <row r="23" spans="1:12" x14ac:dyDescent="0.25">
      <c r="A23" s="5" t="s">
        <v>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7"/>
    </row>
    <row r="24" spans="1:12" x14ac:dyDescent="0.25">
      <c r="A24" s="1" t="s">
        <v>37</v>
      </c>
      <c r="B24" s="1">
        <v>94.2</v>
      </c>
      <c r="C24" s="1">
        <v>158.19999999999999</v>
      </c>
      <c r="D24" s="1">
        <v>258.8</v>
      </c>
      <c r="E24" s="1">
        <v>299.5</v>
      </c>
      <c r="F24" s="1">
        <v>350.4</v>
      </c>
      <c r="G24" s="1">
        <v>427.5</v>
      </c>
      <c r="H24" s="1">
        <v>698.3</v>
      </c>
      <c r="I24" s="1">
        <v>733.9</v>
      </c>
      <c r="J24" s="1">
        <v>749.4</v>
      </c>
      <c r="K24" s="1">
        <v>468.5</v>
      </c>
      <c r="L24" s="1">
        <v>343.1</v>
      </c>
    </row>
    <row r="25" spans="1:12" x14ac:dyDescent="0.25">
      <c r="A25" s="1" t="s">
        <v>18</v>
      </c>
      <c r="B25" s="1">
        <v>6.4</v>
      </c>
      <c r="C25" s="1">
        <v>25.3</v>
      </c>
      <c r="D25" s="1">
        <v>88.5</v>
      </c>
      <c r="E25" s="1">
        <v>129.30000000000001</v>
      </c>
      <c r="F25" s="1">
        <v>59.5</v>
      </c>
      <c r="G25" s="1">
        <v>115.9</v>
      </c>
      <c r="H25" s="1">
        <v>82.5</v>
      </c>
      <c r="I25" s="1">
        <v>78.8</v>
      </c>
      <c r="J25" s="1">
        <v>65.400000000000006</v>
      </c>
      <c r="K25" s="1">
        <v>129.1</v>
      </c>
      <c r="L25" s="1">
        <v>60.4</v>
      </c>
    </row>
    <row r="26" spans="1:12" x14ac:dyDescent="0.25">
      <c r="A26" s="1" t="s">
        <v>38</v>
      </c>
      <c r="B26" s="1">
        <v>87.8</v>
      </c>
      <c r="C26" s="1">
        <v>132.9</v>
      </c>
      <c r="D26" s="1">
        <v>170.3</v>
      </c>
      <c r="E26" s="1">
        <v>170.3</v>
      </c>
      <c r="F26" s="1">
        <v>290.89999999999998</v>
      </c>
      <c r="G26" s="1">
        <v>311.60000000000002</v>
      </c>
      <c r="H26" s="1">
        <v>615.79999999999995</v>
      </c>
      <c r="I26" s="1">
        <v>655.1</v>
      </c>
      <c r="J26" s="1">
        <v>684</v>
      </c>
      <c r="K26" s="1">
        <v>339.4</v>
      </c>
      <c r="L26" s="1">
        <v>282.8</v>
      </c>
    </row>
    <row r="27" spans="1:12" x14ac:dyDescent="0.25">
      <c r="A27" s="1" t="s">
        <v>39</v>
      </c>
      <c r="B27" s="1">
        <v>29.3</v>
      </c>
      <c r="C27" s="1">
        <v>38.1</v>
      </c>
      <c r="D27" s="1">
        <v>138.6</v>
      </c>
      <c r="E27" s="1">
        <v>94.9</v>
      </c>
      <c r="F27" s="1">
        <v>142.9</v>
      </c>
      <c r="G27" s="1">
        <v>172.7</v>
      </c>
      <c r="H27" s="1">
        <v>385.1</v>
      </c>
      <c r="I27" s="1">
        <v>175.1</v>
      </c>
      <c r="J27" s="1">
        <v>243.4</v>
      </c>
      <c r="K27" s="1">
        <v>140.1</v>
      </c>
      <c r="L27" s="1">
        <v>183.7</v>
      </c>
    </row>
    <row r="28" spans="1:12" x14ac:dyDescent="0.25">
      <c r="A28" s="1" t="s">
        <v>40</v>
      </c>
      <c r="B28" s="1">
        <v>58.5</v>
      </c>
      <c r="C28" s="1">
        <v>94.8</v>
      </c>
      <c r="D28" s="1">
        <v>31.7</v>
      </c>
      <c r="E28" s="1">
        <v>75.400000000000006</v>
      </c>
      <c r="F28" s="1">
        <v>148</v>
      </c>
      <c r="G28" s="1">
        <v>138.9</v>
      </c>
      <c r="H28" s="1">
        <v>230.7</v>
      </c>
      <c r="I28" s="1">
        <v>480</v>
      </c>
      <c r="J28" s="1">
        <v>440.6</v>
      </c>
      <c r="K28" s="1">
        <v>199.3</v>
      </c>
      <c r="L28" s="1">
        <v>99.1</v>
      </c>
    </row>
    <row r="29" spans="1:12" x14ac:dyDescent="0.25">
      <c r="A29" s="1" t="s">
        <v>41</v>
      </c>
      <c r="B29" s="1">
        <v>5.2</v>
      </c>
      <c r="C29" s="1">
        <v>2.9</v>
      </c>
      <c r="D29" s="1">
        <v>1.4</v>
      </c>
      <c r="E29" s="1">
        <v>0.9</v>
      </c>
      <c r="F29" s="1">
        <v>1.5</v>
      </c>
      <c r="G29" s="1">
        <v>1</v>
      </c>
      <c r="H29" s="1">
        <v>1.9</v>
      </c>
      <c r="I29" s="1">
        <v>2.2999999999999998</v>
      </c>
      <c r="J29" s="1">
        <v>3.1</v>
      </c>
      <c r="K29" s="1">
        <v>0.9</v>
      </c>
      <c r="L29" s="1">
        <v>0.8</v>
      </c>
    </row>
    <row r="30" spans="1:12" x14ac:dyDescent="0.25">
      <c r="A30" s="1" t="s">
        <v>42</v>
      </c>
      <c r="B30" s="1">
        <v>3.4</v>
      </c>
      <c r="C30" s="1">
        <v>2</v>
      </c>
      <c r="D30" s="1">
        <v>0.3</v>
      </c>
      <c r="E30" s="1">
        <v>0.4</v>
      </c>
      <c r="F30" s="1">
        <v>0.8</v>
      </c>
      <c r="G30" s="1">
        <v>0.4</v>
      </c>
      <c r="H30" s="1">
        <v>0.7</v>
      </c>
      <c r="I30" s="1">
        <v>1.7</v>
      </c>
      <c r="J30" s="1">
        <v>2</v>
      </c>
      <c r="K30" s="1">
        <v>0.5</v>
      </c>
      <c r="L30" s="1">
        <v>0.3</v>
      </c>
    </row>
    <row r="31" spans="1:12" x14ac:dyDescent="0.25">
      <c r="A31" s="1" t="s">
        <v>19</v>
      </c>
      <c r="B31" s="1">
        <v>1.8</v>
      </c>
      <c r="C31" s="1">
        <v>2.5</v>
      </c>
      <c r="D31" s="1">
        <v>4.4000000000000004</v>
      </c>
      <c r="E31" s="1">
        <v>5.9</v>
      </c>
      <c r="F31" s="1">
        <v>8.3000000000000007</v>
      </c>
      <c r="G31" s="1">
        <v>7.3</v>
      </c>
      <c r="H31" s="1">
        <v>5.0999999999999996</v>
      </c>
      <c r="I31" s="1">
        <v>3.8</v>
      </c>
      <c r="J31" s="1">
        <v>3.1</v>
      </c>
      <c r="K31" s="1">
        <v>5.8</v>
      </c>
      <c r="L31" s="1">
        <v>6.1</v>
      </c>
    </row>
    <row r="33" spans="1:12" x14ac:dyDescent="0.25">
      <c r="A33" s="10" t="s">
        <v>43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 x14ac:dyDescent="0.25">
      <c r="A34" s="10" t="s">
        <v>44</v>
      </c>
    </row>
    <row r="35" spans="1:12" x14ac:dyDescent="0.25">
      <c r="A35" s="10" t="s">
        <v>45</v>
      </c>
    </row>
    <row r="36" spans="1:12" x14ac:dyDescent="0.25">
      <c r="A36" s="10" t="s">
        <v>46</v>
      </c>
    </row>
    <row r="37" spans="1:12" x14ac:dyDescent="0.25">
      <c r="A37" s="10" t="s">
        <v>47</v>
      </c>
    </row>
    <row r="38" spans="1:12" x14ac:dyDescent="0.25">
      <c r="A38" s="10" t="s">
        <v>48</v>
      </c>
    </row>
  </sheetData>
  <dataConsolidate/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workbookViewId="0">
      <selection sqref="A1:D4"/>
    </sheetView>
  </sheetViews>
  <sheetFormatPr defaultRowHeight="13.2" x14ac:dyDescent="0.25"/>
  <cols>
    <col min="1" max="1" width="22.109375" bestFit="1" customWidth="1"/>
    <col min="2" max="5" width="4.33203125" bestFit="1" customWidth="1"/>
  </cols>
  <sheetData>
    <row r="1" spans="1:5" ht="75.599999999999994" customHeight="1" x14ac:dyDescent="0.25">
      <c r="B1" s="37" t="s">
        <v>22</v>
      </c>
      <c r="C1" s="37" t="s">
        <v>23</v>
      </c>
      <c r="D1" s="37" t="s">
        <v>16</v>
      </c>
      <c r="E1" s="37" t="s">
        <v>24</v>
      </c>
    </row>
    <row r="2" spans="1:5" x14ac:dyDescent="0.25">
      <c r="A2" s="38" t="s">
        <v>22</v>
      </c>
      <c r="B2" s="36">
        <f ca="1">CORREL(OFFSET(key!$D$4:$L$4,MATCH($A2,key!$A$5:$A$8,0),0),OFFSET(key!$D$4:$L$4,MATCH(B$1,key!$A$5:$A$8,0),0))</f>
        <v>0.99999999999999978</v>
      </c>
      <c r="C2" s="36">
        <f ca="1">CORREL(OFFSET(key!$D$4:$L$4,MATCH($A2,key!$A$5:$A$8,0),0),OFFSET(key!$D$4:$L$4,MATCH(C$1,key!$A$5:$A$8,0),0))</f>
        <v>0.16004671708027676</v>
      </c>
      <c r="D2" s="36">
        <f ca="1">CORREL(OFFSET(key!$D$4:$L$4,MATCH($A2,key!$A$5:$A$8,0),0),OFFSET(key!$D$4:$L$4,MATCH(D$1,key!$A$5:$A$8,0),0))</f>
        <v>0.22922076461927204</v>
      </c>
      <c r="E2" s="36">
        <f ca="1">CORREL(OFFSET(key!$D$4:$L$4,MATCH($A2,key!$A$5:$A$8,0),0),OFFSET(key!$D$4:$L$4,MATCH(E$1,key!$A$5:$A$8,0),0))</f>
        <v>-0.33703200577493736</v>
      </c>
    </row>
    <row r="3" spans="1:5" x14ac:dyDescent="0.25">
      <c r="A3" s="38" t="s">
        <v>23</v>
      </c>
      <c r="B3" s="36">
        <f ca="1">CORREL(OFFSET(key!$D$4:$L$4,MATCH($A3,key!$A$5:$A$8,0),0),OFFSET(key!$D$4:$L$4,MATCH(B$1,key!$A$5:$A$8,0),0))</f>
        <v>0.16004671708027676</v>
      </c>
      <c r="C3" s="36">
        <f ca="1">CORREL(OFFSET(key!$D$4:$L$4,MATCH($A3,key!$A$5:$A$8,0),0),OFFSET(key!$D$4:$L$4,MATCH(C$1,key!$A$5:$A$8,0),0))</f>
        <v>1</v>
      </c>
      <c r="D3" s="36">
        <f ca="1">CORREL(OFFSET(key!$D$4:$L$4,MATCH($A3,key!$A$5:$A$8,0),0),OFFSET(key!$D$4:$L$4,MATCH(D$1,key!$A$5:$A$8,0),0))</f>
        <v>-8.328466348011547E-2</v>
      </c>
      <c r="E3" s="36">
        <f ca="1">CORREL(OFFSET(key!$D$4:$L$4,MATCH($A3,key!$A$5:$A$8,0),0),OFFSET(key!$D$4:$L$4,MATCH(E$1,key!$A$5:$A$8,0),0))</f>
        <v>-0.38332705608696449</v>
      </c>
    </row>
    <row r="4" spans="1:5" x14ac:dyDescent="0.25">
      <c r="A4" s="38" t="s">
        <v>16</v>
      </c>
      <c r="B4" s="36">
        <f ca="1">CORREL(OFFSET(key!$D$4:$L$4,MATCH($A4,key!$A$5:$A$8,0),0),OFFSET(key!$D$4:$L$4,MATCH(B$1,key!$A$5:$A$8,0),0))</f>
        <v>0.22922076461927204</v>
      </c>
      <c r="C4" s="36">
        <f ca="1">CORREL(OFFSET(key!$D$4:$L$4,MATCH($A4,key!$A$5:$A$8,0),0),OFFSET(key!$D$4:$L$4,MATCH(C$1,key!$A$5:$A$8,0),0))</f>
        <v>-8.328466348011547E-2</v>
      </c>
      <c r="D4" s="36">
        <f ca="1">CORREL(OFFSET(key!$D$4:$L$4,MATCH($A4,key!$A$5:$A$8,0),0),OFFSET(key!$D$4:$L$4,MATCH(D$1,key!$A$5:$A$8,0),0))</f>
        <v>1</v>
      </c>
      <c r="E4" s="36">
        <f ca="1">CORREL(OFFSET(key!$D$4:$L$4,MATCH($A4,key!$A$5:$A$8,0),0),OFFSET(key!$D$4:$L$4,MATCH(E$1,key!$A$5:$A$8,0),0))</f>
        <v>-0.21575924003804484</v>
      </c>
    </row>
    <row r="5" spans="1:5" x14ac:dyDescent="0.25">
      <c r="A5" s="38" t="s">
        <v>24</v>
      </c>
      <c r="B5" s="36">
        <f ca="1">CORREL(OFFSET(key!$D$4:$L$4,MATCH($A5,key!$A$5:$A$8,0),0),OFFSET(key!$D$4:$L$4,MATCH(B$1,key!$A$5:$A$8,0),0))</f>
        <v>-0.33703200577493736</v>
      </c>
      <c r="C5" s="36">
        <f ca="1">CORREL(OFFSET(key!$D$4:$L$4,MATCH($A5,key!$A$5:$A$8,0),0),OFFSET(key!$D$4:$L$4,MATCH(C$1,key!$A$5:$A$8,0),0))</f>
        <v>-0.38332705608696449</v>
      </c>
      <c r="D5" s="36">
        <f ca="1">CORREL(OFFSET(key!$D$4:$L$4,MATCH($A5,key!$A$5:$A$8,0),0),OFFSET(key!$D$4:$L$4,MATCH(D$1,key!$A$5:$A$8,0),0))</f>
        <v>-0.21575924003804484</v>
      </c>
      <c r="E5" s="36">
        <f ca="1">CORREL(OFFSET(key!$D$4:$L$4,MATCH($A5,key!$A$5:$A$8,0),0),OFFSET(key!$D$4:$L$4,MATCH(E$1,key!$A$5:$A$8,0),0))</f>
        <v>1</v>
      </c>
    </row>
  </sheetData>
  <phoneticPr fontId="3" type="noConversion"/>
  <conditionalFormatting sqref="B2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7" tint="0.39997558519241921"/>
  </sheetPr>
  <dimension ref="A1:Y62"/>
  <sheetViews>
    <sheetView zoomScaleNormal="100"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T57" sqref="T57"/>
    </sheetView>
  </sheetViews>
  <sheetFormatPr defaultRowHeight="13.2" outlineLevelRow="1" x14ac:dyDescent="0.25"/>
  <cols>
    <col min="1" max="1" width="40" bestFit="1" customWidth="1"/>
    <col min="2" max="2" width="8" customWidth="1"/>
    <col min="3" max="4" width="7.5546875" bestFit="1" customWidth="1"/>
    <col min="5" max="5" width="8" bestFit="1" customWidth="1"/>
    <col min="6" max="15" width="7.5546875" bestFit="1" customWidth="1"/>
    <col min="16" max="17" width="8.109375" bestFit="1" customWidth="1"/>
    <col min="18" max="19" width="7.5546875" bestFit="1" customWidth="1"/>
    <col min="20" max="20" width="7" bestFit="1" customWidth="1"/>
    <col min="21" max="21" width="7.5546875" bestFit="1" customWidth="1"/>
    <col min="25" max="25" width="9" bestFit="1" customWidth="1"/>
  </cols>
  <sheetData>
    <row r="1" spans="1:25" x14ac:dyDescent="0.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</row>
    <row r="2" spans="1:25" x14ac:dyDescent="0.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192"/>
      <c r="U2" s="193"/>
      <c r="V2" s="194"/>
      <c r="W2" s="195"/>
      <c r="X2" s="192"/>
      <c r="Y2" s="193"/>
    </row>
    <row r="3" spans="1:25" x14ac:dyDescent="0.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/>
      <c r="U3" s="197"/>
      <c r="V3" s="198"/>
      <c r="W3" s="199"/>
      <c r="X3" s="196"/>
      <c r="Y3" s="197"/>
    </row>
    <row r="4" spans="1:25" x14ac:dyDescent="0.25">
      <c r="A4" s="54" t="s">
        <v>179</v>
      </c>
      <c r="B4" s="151">
        <f t="shared" ref="B4:S4" si="0">B3/B2</f>
        <v>1465.8733429148617</v>
      </c>
      <c r="C4" s="152">
        <f t="shared" si="0"/>
        <v>1375.8231420507996</v>
      </c>
      <c r="D4" s="152">
        <f t="shared" si="0"/>
        <v>1741.6195337287902</v>
      </c>
      <c r="E4" s="153">
        <f t="shared" si="0"/>
        <v>1428.0695591076762</v>
      </c>
      <c r="F4" s="154">
        <f t="shared" si="0"/>
        <v>1217.3458725182863</v>
      </c>
      <c r="G4" s="152">
        <f t="shared" si="0"/>
        <v>1148.819279686109</v>
      </c>
      <c r="H4" s="152">
        <f t="shared" si="0"/>
        <v>1172.035977723755</v>
      </c>
      <c r="I4" s="155">
        <f t="shared" si="0"/>
        <v>1179.1282896941909</v>
      </c>
      <c r="J4" s="151">
        <f t="shared" si="0"/>
        <v>1147.5814412635734</v>
      </c>
      <c r="K4" s="152">
        <f t="shared" si="0"/>
        <v>1024.0920532182668</v>
      </c>
      <c r="L4" s="152">
        <f t="shared" si="0"/>
        <v>1103.932584269663</v>
      </c>
      <c r="M4" s="153">
        <f t="shared" si="0"/>
        <v>1023.3100233100236</v>
      </c>
      <c r="N4" s="154">
        <f t="shared" si="0"/>
        <v>1073.9570164348925</v>
      </c>
      <c r="O4" s="152">
        <f t="shared" si="0"/>
        <v>1067.003367003367</v>
      </c>
      <c r="P4" s="152">
        <f t="shared" si="0"/>
        <v>990.93466708346352</v>
      </c>
      <c r="Q4" s="155">
        <f t="shared" si="0"/>
        <v>1093.3908045977009</v>
      </c>
      <c r="R4" s="151">
        <f t="shared" si="0"/>
        <v>909.74297668858333</v>
      </c>
      <c r="S4" s="152">
        <f t="shared" si="0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</row>
    <row r="5" spans="1:25" x14ac:dyDescent="0.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v>19.900821172479809</v>
      </c>
      <c r="U5" s="197">
        <v>23.798065318757104</v>
      </c>
      <c r="V5" s="198"/>
      <c r="W5" s="199"/>
      <c r="X5" s="196"/>
      <c r="Y5" s="197"/>
    </row>
    <row r="6" spans="1:25" x14ac:dyDescent="0.25">
      <c r="A6" s="54" t="s">
        <v>180</v>
      </c>
      <c r="B6" s="165">
        <f t="shared" ref="B6:S6" si="1">B5/B3</f>
        <v>0.13061364415495372</v>
      </c>
      <c r="C6" s="161">
        <f t="shared" si="1"/>
        <v>0.1211775878442545</v>
      </c>
      <c r="D6" s="161">
        <f t="shared" si="1"/>
        <v>0.12046204620462046</v>
      </c>
      <c r="E6" s="162">
        <f t="shared" si="1"/>
        <v>8.560885608856085E-2</v>
      </c>
      <c r="F6" s="163">
        <f t="shared" si="1"/>
        <v>6.8669527896995713E-3</v>
      </c>
      <c r="G6" s="161">
        <f t="shared" si="1"/>
        <v>0.16195543731293649</v>
      </c>
      <c r="H6" s="161">
        <f t="shared" si="1"/>
        <v>0.16161290322580646</v>
      </c>
      <c r="I6" s="164">
        <f t="shared" si="1"/>
        <v>0.14667424673109722</v>
      </c>
      <c r="J6" s="165">
        <f t="shared" si="1"/>
        <v>0.17591397849462365</v>
      </c>
      <c r="K6" s="161">
        <f t="shared" si="1"/>
        <v>0.1990870786516854</v>
      </c>
      <c r="L6" s="161">
        <f t="shared" si="1"/>
        <v>0.25227190112686299</v>
      </c>
      <c r="M6" s="162">
        <f t="shared" si="1"/>
        <v>8.3306215424666416E-2</v>
      </c>
      <c r="N6" s="163">
        <f t="shared" si="1"/>
        <v>0.13243084167157151</v>
      </c>
      <c r="O6" s="161">
        <f t="shared" si="1"/>
        <v>0.1117071631429473</v>
      </c>
      <c r="P6" s="161">
        <f t="shared" si="1"/>
        <v>0.10599369085173502</v>
      </c>
      <c r="Q6" s="164">
        <f t="shared" si="1"/>
        <v>9.4174332019272902E-2</v>
      </c>
      <c r="R6" s="165">
        <f t="shared" si="1"/>
        <v>6.9645203679369258E-2</v>
      </c>
      <c r="S6" s="161">
        <f t="shared" si="1"/>
        <v>8.9318044659022336E-2</v>
      </c>
      <c r="T6" s="242"/>
      <c r="U6" s="243"/>
      <c r="V6" s="244"/>
      <c r="W6" s="245"/>
      <c r="X6" s="242"/>
      <c r="Y6" s="243"/>
    </row>
    <row r="7" spans="1:25" ht="13.8" thickBot="1" x14ac:dyDescent="0.3">
      <c r="A7" s="55" t="s">
        <v>182</v>
      </c>
      <c r="B7" s="156">
        <f t="shared" ref="B7:S7" si="2">B5/B2</f>
        <v>191.46305918771421</v>
      </c>
      <c r="C7" s="157">
        <f t="shared" si="2"/>
        <v>166.71892965401901</v>
      </c>
      <c r="D7" s="157">
        <f t="shared" si="2"/>
        <v>209.79905274290707</v>
      </c>
      <c r="E7" s="158">
        <f t="shared" si="2"/>
        <v>122.2554013701036</v>
      </c>
      <c r="F7" s="159">
        <f t="shared" si="2"/>
        <v>8.3594566353187059</v>
      </c>
      <c r="G7" s="157">
        <f t="shared" si="2"/>
        <v>186.05752883509649</v>
      </c>
      <c r="H7" s="157">
        <f t="shared" si="2"/>
        <v>189.41613704503266</v>
      </c>
      <c r="I7" s="160">
        <f t="shared" si="2"/>
        <v>172.94775369022241</v>
      </c>
      <c r="J7" s="156">
        <f t="shared" si="2"/>
        <v>201.87561697926949</v>
      </c>
      <c r="K7" s="157">
        <f t="shared" si="2"/>
        <v>203.88349514563106</v>
      </c>
      <c r="L7" s="157">
        <f t="shared" si="2"/>
        <v>278.49117174959872</v>
      </c>
      <c r="M7" s="158">
        <f t="shared" si="2"/>
        <v>85.248085248085232</v>
      </c>
      <c r="N7" s="159">
        <f t="shared" si="2"/>
        <v>142.22503160556258</v>
      </c>
      <c r="O7" s="157">
        <f t="shared" si="2"/>
        <v>119.1919191919192</v>
      </c>
      <c r="P7" s="157">
        <f t="shared" si="2"/>
        <v>105.0328227571116</v>
      </c>
      <c r="Q7" s="160">
        <f t="shared" si="2"/>
        <v>102.96934865900384</v>
      </c>
      <c r="R7" s="156">
        <f t="shared" si="2"/>
        <v>63.359234907352061</v>
      </c>
      <c r="S7" s="157">
        <f t="shared" si="2"/>
        <v>86.778070946936381</v>
      </c>
      <c r="T7" s="246"/>
      <c r="U7" s="247"/>
      <c r="V7" s="248"/>
      <c r="W7" s="249"/>
      <c r="X7" s="246"/>
      <c r="Y7" s="247"/>
    </row>
    <row r="8" spans="1:25" x14ac:dyDescent="0.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200"/>
      <c r="U8" s="201"/>
      <c r="V8" s="202"/>
      <c r="W8" s="203"/>
      <c r="X8" s="200"/>
      <c r="Y8" s="201"/>
    </row>
    <row r="9" spans="1:25" x14ac:dyDescent="0.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/>
      <c r="U9" s="205"/>
      <c r="V9" s="206"/>
      <c r="W9" s="207"/>
      <c r="X9" s="204"/>
      <c r="Y9" s="205"/>
    </row>
    <row r="10" spans="1:25" x14ac:dyDescent="0.25">
      <c r="A10" s="54" t="s">
        <v>179</v>
      </c>
      <c r="B10" s="151">
        <f t="shared" ref="B10:S10" si="3">B9/(B8*0.92/1000)</f>
        <v>1799.624225253516</v>
      </c>
      <c r="C10" s="152">
        <f t="shared" si="3"/>
        <v>1731.6630402595561</v>
      </c>
      <c r="D10" s="152">
        <f t="shared" si="3"/>
        <v>1896.6459412715787</v>
      </c>
      <c r="E10" s="153">
        <f t="shared" si="3"/>
        <v>1952.2772791529899</v>
      </c>
      <c r="F10" s="154">
        <f t="shared" si="3"/>
        <v>1620.7298136645961</v>
      </c>
      <c r="G10" s="152">
        <f t="shared" si="3"/>
        <v>1595.9395861721496</v>
      </c>
      <c r="H10" s="152">
        <f t="shared" si="3"/>
        <v>1573.9738845482934</v>
      </c>
      <c r="I10" s="155">
        <f t="shared" si="3"/>
        <v>1250.097039496216</v>
      </c>
      <c r="J10" s="151">
        <f t="shared" si="3"/>
        <v>1253.8138825324179</v>
      </c>
      <c r="K10" s="152">
        <f t="shared" si="3"/>
        <v>1229.9771167048054</v>
      </c>
      <c r="L10" s="152">
        <f t="shared" si="3"/>
        <v>1223.9678480087687</v>
      </c>
      <c r="M10" s="153">
        <f t="shared" si="3"/>
        <v>1338.439007994622</v>
      </c>
      <c r="N10" s="154">
        <f t="shared" si="3"/>
        <v>1258.9044460820437</v>
      </c>
      <c r="O10" s="152">
        <f t="shared" si="3"/>
        <v>1192.1458625525947</v>
      </c>
      <c r="P10" s="152">
        <f t="shared" si="3"/>
        <v>1151.5658254788689</v>
      </c>
      <c r="Q10" s="155">
        <f t="shared" si="3"/>
        <v>1179.7454931071054</v>
      </c>
      <c r="R10" s="151">
        <f t="shared" si="3"/>
        <v>1189.0181669728518</v>
      </c>
      <c r="S10" s="152">
        <f t="shared" si="3"/>
        <v>1116.9829449915926</v>
      </c>
      <c r="T10" s="238"/>
      <c r="U10" s="239"/>
      <c r="V10" s="240"/>
      <c r="W10" s="241"/>
      <c r="X10" s="238"/>
      <c r="Y10" s="239"/>
    </row>
    <row r="11" spans="1:25" x14ac:dyDescent="0.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v>3.2070237835818571</v>
      </c>
      <c r="U11" s="205">
        <v>2.6641024343928024</v>
      </c>
      <c r="V11" s="206"/>
      <c r="W11" s="207"/>
      <c r="X11" s="204"/>
      <c r="Y11" s="205"/>
    </row>
    <row r="12" spans="1:25" x14ac:dyDescent="0.25">
      <c r="A12" s="54" t="s">
        <v>180</v>
      </c>
      <c r="B12" s="165">
        <f t="shared" ref="B12:S12" si="4">B11/B9</f>
        <v>0.17201834862385321</v>
      </c>
      <c r="C12" s="161">
        <f t="shared" si="4"/>
        <v>0.14869888475836432</v>
      </c>
      <c r="D12" s="161">
        <f t="shared" si="4"/>
        <v>0.14356435643564355</v>
      </c>
      <c r="E12" s="162">
        <f t="shared" si="4"/>
        <v>0.1004464285714286</v>
      </c>
      <c r="F12" s="163">
        <f t="shared" si="4"/>
        <v>0.11077844311377247</v>
      </c>
      <c r="G12" s="161">
        <f t="shared" si="4"/>
        <v>0.28923766816143498</v>
      </c>
      <c r="H12" s="161">
        <f t="shared" si="4"/>
        <v>0.20183486238532108</v>
      </c>
      <c r="I12" s="164">
        <f t="shared" si="4"/>
        <v>0.15525114155251141</v>
      </c>
      <c r="J12" s="165">
        <f t="shared" si="4"/>
        <v>0.14448669201520911</v>
      </c>
      <c r="K12" s="161">
        <f t="shared" si="4"/>
        <v>0.22997416020671835</v>
      </c>
      <c r="L12" s="161">
        <f t="shared" si="4"/>
        <v>0.16044776119402984</v>
      </c>
      <c r="M12" s="162">
        <f t="shared" si="4"/>
        <v>0.15695067264573992</v>
      </c>
      <c r="N12" s="163">
        <f t="shared" si="4"/>
        <v>0.16585365853658537</v>
      </c>
      <c r="O12" s="161">
        <f t="shared" si="4"/>
        <v>0.20588235294117646</v>
      </c>
      <c r="P12" s="161">
        <f t="shared" si="4"/>
        <v>0.12211221122112212</v>
      </c>
      <c r="Q12" s="164">
        <f t="shared" si="4"/>
        <v>9.5505617977528059E-2</v>
      </c>
      <c r="R12" s="165">
        <f t="shared" si="4"/>
        <v>8.5836909871244635E-2</v>
      </c>
      <c r="S12" s="161">
        <f t="shared" si="4"/>
        <v>0.13978494623655913</v>
      </c>
      <c r="T12" s="242"/>
      <c r="U12" s="243"/>
      <c r="V12" s="244"/>
      <c r="W12" s="245"/>
      <c r="X12" s="242"/>
      <c r="Y12" s="243"/>
    </row>
    <row r="13" spans="1:25" ht="13.8" thickBot="1" x14ac:dyDescent="0.3">
      <c r="A13" s="55" t="s">
        <v>182</v>
      </c>
      <c r="B13" s="156">
        <f t="shared" ref="B13:S13" si="5">B11/(B8*0.92/1000)</f>
        <v>309.56838737159103</v>
      </c>
      <c r="C13" s="157">
        <f t="shared" si="5"/>
        <v>257.49636286387454</v>
      </c>
      <c r="D13" s="157">
        <f t="shared" si="5"/>
        <v>272.29075394492963</v>
      </c>
      <c r="E13" s="158">
        <f t="shared" si="5"/>
        <v>196.09928027206379</v>
      </c>
      <c r="F13" s="159">
        <f t="shared" si="5"/>
        <v>179.54192546583852</v>
      </c>
      <c r="G13" s="157">
        <f t="shared" si="5"/>
        <v>461.60584443095803</v>
      </c>
      <c r="H13" s="157">
        <f t="shared" si="5"/>
        <v>317.68280238589404</v>
      </c>
      <c r="I13" s="160">
        <f t="shared" si="5"/>
        <v>194.07899243320247</v>
      </c>
      <c r="J13" s="156">
        <f t="shared" si="5"/>
        <v>181.15942028985506</v>
      </c>
      <c r="K13" s="157">
        <f t="shared" si="5"/>
        <v>282.86295448766839</v>
      </c>
      <c r="L13" s="157">
        <f t="shared" si="5"/>
        <v>196.38290098648153</v>
      </c>
      <c r="M13" s="158">
        <f t="shared" si="5"/>
        <v>210.06890260005281</v>
      </c>
      <c r="N13" s="159">
        <f t="shared" si="5"/>
        <v>208.79390813068042</v>
      </c>
      <c r="O13" s="157">
        <f t="shared" si="5"/>
        <v>245.44179523141653</v>
      </c>
      <c r="P13" s="157">
        <f t="shared" si="5"/>
        <v>140.62024931590148</v>
      </c>
      <c r="Q13" s="160">
        <f t="shared" si="5"/>
        <v>112.67232237539768</v>
      </c>
      <c r="R13" s="156">
        <f t="shared" si="5"/>
        <v>102.06164523372118</v>
      </c>
      <c r="S13" s="157">
        <f t="shared" si="5"/>
        <v>156.13740091280326</v>
      </c>
      <c r="T13" s="246"/>
      <c r="U13" s="247"/>
      <c r="V13" s="248"/>
      <c r="W13" s="249"/>
      <c r="X13" s="246"/>
      <c r="Y13" s="247"/>
    </row>
    <row r="14" spans="1:25" ht="13.8" thickBot="1" x14ac:dyDescent="0.3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</row>
    <row r="15" spans="1:25" ht="13.8" thickBot="1" x14ac:dyDescent="0.3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</row>
    <row r="16" spans="1:25" ht="13.8" hidden="1" outlineLevel="1" thickBot="1" x14ac:dyDescent="0.3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</row>
    <row r="17" spans="1:25" ht="13.8" hidden="1" outlineLevel="1" thickBot="1" x14ac:dyDescent="0.3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</row>
    <row r="18" spans="1:25" ht="13.8" hidden="1" outlineLevel="1" thickBot="1" x14ac:dyDescent="0.3">
      <c r="A18" s="63" t="s">
        <v>195</v>
      </c>
      <c r="B18" s="79">
        <f t="shared" ref="B18:S18" si="6">SUM(B16:B17)</f>
        <v>4.4595999999999997E-2</v>
      </c>
      <c r="C18" s="51">
        <f t="shared" si="6"/>
        <v>0</v>
      </c>
      <c r="D18" s="51">
        <f t="shared" si="6"/>
        <v>0</v>
      </c>
      <c r="E18" s="80">
        <f t="shared" si="6"/>
        <v>0</v>
      </c>
      <c r="F18" s="72">
        <f t="shared" si="6"/>
        <v>3.1097E-2</v>
      </c>
      <c r="G18" s="51">
        <f t="shared" si="6"/>
        <v>0</v>
      </c>
      <c r="H18" s="51">
        <f t="shared" si="6"/>
        <v>0</v>
      </c>
      <c r="I18" s="83">
        <f t="shared" si="6"/>
        <v>0</v>
      </c>
      <c r="J18" s="79">
        <f t="shared" si="6"/>
        <v>0</v>
      </c>
      <c r="K18" s="51">
        <f t="shared" si="6"/>
        <v>0</v>
      </c>
      <c r="L18" s="51">
        <f t="shared" si="6"/>
        <v>0</v>
      </c>
      <c r="M18" s="80">
        <f t="shared" si="6"/>
        <v>0</v>
      </c>
      <c r="N18" s="72">
        <f t="shared" si="6"/>
        <v>0</v>
      </c>
      <c r="O18" s="51">
        <f t="shared" si="6"/>
        <v>0</v>
      </c>
      <c r="P18" s="51">
        <f t="shared" si="6"/>
        <v>0</v>
      </c>
      <c r="Q18" s="83">
        <f t="shared" si="6"/>
        <v>0</v>
      </c>
      <c r="R18" s="79">
        <f t="shared" si="6"/>
        <v>0</v>
      </c>
      <c r="S18" s="51">
        <f t="shared" si="6"/>
        <v>0</v>
      </c>
      <c r="T18" s="250"/>
      <c r="U18" s="251"/>
      <c r="V18" s="252"/>
      <c r="W18" s="253"/>
      <c r="X18" s="250"/>
      <c r="Y18" s="251"/>
    </row>
    <row r="19" spans="1:25" ht="13.8" collapsed="1" thickBot="1" x14ac:dyDescent="0.3">
      <c r="A19" s="64" t="s">
        <v>189</v>
      </c>
      <c r="B19" s="105">
        <f t="shared" ref="B19:S19" si="7">(B2+B8*0.92/1000)/0.44</f>
        <v>0.50732109090909094</v>
      </c>
      <c r="C19" s="106">
        <f t="shared" si="7"/>
        <v>0.94033727272727274</v>
      </c>
      <c r="D19" s="106">
        <f t="shared" si="7"/>
        <v>0.44381081818181817</v>
      </c>
      <c r="E19" s="107">
        <f t="shared" si="7"/>
        <v>0.69908536363636353</v>
      </c>
      <c r="F19" s="108">
        <f t="shared" si="7"/>
        <v>0.26433636363636365</v>
      </c>
      <c r="G19" s="106">
        <f t="shared" si="7"/>
        <v>0.65839300000000001</v>
      </c>
      <c r="H19" s="106">
        <f t="shared" si="7"/>
        <v>0.64834645454545448</v>
      </c>
      <c r="I19" s="109">
        <f t="shared" si="7"/>
        <v>0.71789690909090909</v>
      </c>
      <c r="J19" s="105">
        <f t="shared" si="7"/>
        <v>0.50812727272727276</v>
      </c>
      <c r="K19" s="106">
        <f t="shared" si="7"/>
        <v>0.70355454545454543</v>
      </c>
      <c r="L19" s="106">
        <f t="shared" si="7"/>
        <v>0.61612727272727275</v>
      </c>
      <c r="M19" s="107">
        <f t="shared" si="7"/>
        <v>0.72036636363636364</v>
      </c>
      <c r="N19" s="108">
        <f t="shared" si="7"/>
        <v>0.39655454545454544</v>
      </c>
      <c r="O19" s="106">
        <f t="shared" si="7"/>
        <v>0.73981818181818171</v>
      </c>
      <c r="P19" s="106">
        <f t="shared" si="7"/>
        <v>0.78684545454545463</v>
      </c>
      <c r="Q19" s="109">
        <f t="shared" si="7"/>
        <v>0.50883636363636353</v>
      </c>
      <c r="R19" s="105">
        <f t="shared" si="7"/>
        <v>0.4247636363636364</v>
      </c>
      <c r="S19" s="106">
        <f t="shared" si="7"/>
        <v>0.8509181818181818</v>
      </c>
      <c r="T19" s="254"/>
      <c r="U19" s="255"/>
      <c r="V19" s="256"/>
      <c r="W19" s="257"/>
      <c r="X19" s="254"/>
      <c r="Y19" s="255"/>
    </row>
    <row r="20" spans="1:25" ht="3.6" customHeight="1" thickBot="1" x14ac:dyDescent="0.3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</row>
    <row r="21" spans="1:25" x14ac:dyDescent="0.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208"/>
      <c r="U21" s="209"/>
      <c r="V21" s="210"/>
      <c r="W21" s="211"/>
      <c r="X21" s="208"/>
      <c r="Y21" s="209"/>
    </row>
    <row r="22" spans="1:25" x14ac:dyDescent="0.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/>
      <c r="U22" s="213"/>
      <c r="V22" s="191"/>
      <c r="W22" s="186"/>
      <c r="X22" s="212"/>
      <c r="Y22" s="213"/>
    </row>
    <row r="23" spans="1:25" x14ac:dyDescent="0.25">
      <c r="A23" s="54" t="s">
        <v>179</v>
      </c>
      <c r="B23" s="151">
        <f t="shared" ref="B23:R23" si="8">B22/B21</f>
        <v>303.03684527653093</v>
      </c>
      <c r="C23" s="152">
        <f t="shared" si="8"/>
        <v>312.04168876961961</v>
      </c>
      <c r="D23" s="152">
        <f t="shared" si="8"/>
        <v>365.89189974684314</v>
      </c>
      <c r="E23" s="153">
        <f t="shared" si="8"/>
        <v>310.46448712879527</v>
      </c>
      <c r="F23" s="154">
        <f t="shared" si="8"/>
        <v>258.84451357012142</v>
      </c>
      <c r="G23" s="152">
        <f t="shared" si="8"/>
        <v>246.09347208232077</v>
      </c>
      <c r="H23" s="152">
        <f t="shared" si="8"/>
        <v>235.34958377071993</v>
      </c>
      <c r="I23" s="155">
        <f t="shared" si="8"/>
        <v>263.07740228252948</v>
      </c>
      <c r="J23" s="151">
        <f t="shared" si="8"/>
        <v>235.07248750921448</v>
      </c>
      <c r="K23" s="152">
        <f t="shared" si="8"/>
        <v>222.80826799714899</v>
      </c>
      <c r="L23" s="152">
        <f t="shared" si="8"/>
        <v>224.67522715326271</v>
      </c>
      <c r="M23" s="153">
        <f t="shared" si="8"/>
        <v>196.01623953311338</v>
      </c>
      <c r="N23" s="154">
        <f t="shared" si="8"/>
        <v>190.10135863704983</v>
      </c>
      <c r="O23" s="152">
        <f t="shared" si="8"/>
        <v>195.4040365862877</v>
      </c>
      <c r="P23" s="152">
        <f t="shared" si="8"/>
        <v>180.43677998445119</v>
      </c>
      <c r="Q23" s="155">
        <f t="shared" si="8"/>
        <v>176.81042590353357</v>
      </c>
      <c r="R23" s="151">
        <f t="shared" si="8"/>
        <v>169.10830722330425</v>
      </c>
      <c r="S23" s="152">
        <f>S22/S21</f>
        <v>180.88648084078596</v>
      </c>
      <c r="T23" s="238"/>
      <c r="U23" s="239"/>
      <c r="V23" s="240"/>
      <c r="W23" s="241"/>
      <c r="X23" s="238"/>
      <c r="Y23" s="239"/>
    </row>
    <row r="24" spans="1:25" x14ac:dyDescent="0.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v>19.838572289156627</v>
      </c>
      <c r="U24" s="213">
        <v>4.7915195783132534</v>
      </c>
      <c r="V24" s="191"/>
      <c r="W24" s="186"/>
      <c r="X24" s="212"/>
      <c r="Y24" s="213"/>
    </row>
    <row r="25" spans="1:25" x14ac:dyDescent="0.25">
      <c r="A25" s="54" t="s">
        <v>180</v>
      </c>
      <c r="B25" s="165">
        <f t="shared" ref="B25:S25" si="9">B24/B22</f>
        <v>3.7564766839378233E-2</v>
      </c>
      <c r="C25" s="161">
        <f t="shared" si="9"/>
        <v>2.2058823529411766E-2</v>
      </c>
      <c r="D25" s="161">
        <f t="shared" si="9"/>
        <v>2.0066889632107024E-2</v>
      </c>
      <c r="E25" s="162">
        <f t="shared" si="9"/>
        <v>-2.3460410557184751E-2</v>
      </c>
      <c r="F25" s="163">
        <f t="shared" si="9"/>
        <v>4.1048034934497817E-2</v>
      </c>
      <c r="G25" s="161">
        <f t="shared" si="9"/>
        <v>1.1564211807668897E-2</v>
      </c>
      <c r="H25" s="161">
        <f t="shared" si="9"/>
        <v>0.10632090761750404</v>
      </c>
      <c r="I25" s="164">
        <f t="shared" si="9"/>
        <v>7.1466666666666706E-2</v>
      </c>
      <c r="J25" s="165">
        <f t="shared" si="9"/>
        <v>6.1672473867595813E-2</v>
      </c>
      <c r="K25" s="161">
        <f t="shared" si="9"/>
        <v>4.8624440179142671E-2</v>
      </c>
      <c r="L25" s="161">
        <f t="shared" si="9"/>
        <v>7.5200534759358298E-2</v>
      </c>
      <c r="M25" s="162">
        <f t="shared" si="9"/>
        <v>2.5889967637540454E-2</v>
      </c>
      <c r="N25" s="163">
        <f t="shared" si="9"/>
        <v>5.8990357345433918E-2</v>
      </c>
      <c r="O25" s="161">
        <f t="shared" si="9"/>
        <v>4.3326885880077368E-2</v>
      </c>
      <c r="P25" s="161">
        <f t="shared" si="9"/>
        <v>8.3431257344300819E-2</v>
      </c>
      <c r="Q25" s="164">
        <f t="shared" si="9"/>
        <v>2.5835866261398107E-2</v>
      </c>
      <c r="R25" s="165">
        <f t="shared" si="9"/>
        <v>2.1532298447671509E-2</v>
      </c>
      <c r="S25" s="161">
        <f t="shared" si="9"/>
        <v>3.9696860339227709E-2</v>
      </c>
      <c r="T25" s="242"/>
      <c r="U25" s="243"/>
      <c r="V25" s="244"/>
      <c r="W25" s="245"/>
      <c r="X25" s="242"/>
      <c r="Y25" s="243"/>
    </row>
    <row r="26" spans="1:25" ht="13.8" thickBot="1" x14ac:dyDescent="0.3">
      <c r="A26" s="55" t="s">
        <v>182</v>
      </c>
      <c r="B26" s="156">
        <f t="shared" ref="B26:R26" si="10">B24/B21</f>
        <v>11.383508436553623</v>
      </c>
      <c r="C26" s="157">
        <f t="shared" si="10"/>
        <v>6.8832725463886675</v>
      </c>
      <c r="D26" s="157">
        <f t="shared" si="10"/>
        <v>7.3423123695018697</v>
      </c>
      <c r="E26" s="158">
        <f t="shared" si="10"/>
        <v>-7.2836243314673386</v>
      </c>
      <c r="F26" s="159">
        <f t="shared" si="10"/>
        <v>10.62505863562944</v>
      </c>
      <c r="G26" s="157">
        <f t="shared" si="10"/>
        <v>2.8458770356446097</v>
      </c>
      <c r="H26" s="157">
        <f t="shared" si="10"/>
        <v>25.022581353904741</v>
      </c>
      <c r="I26" s="160">
        <f t="shared" si="10"/>
        <v>18.801265016458114</v>
      </c>
      <c r="J26" s="156">
        <f t="shared" si="10"/>
        <v>14.497501842902775</v>
      </c>
      <c r="K26" s="157">
        <f t="shared" si="10"/>
        <v>10.833927298645758</v>
      </c>
      <c r="L26" s="157">
        <f t="shared" si="10"/>
        <v>16.895697229105654</v>
      </c>
      <c r="M26" s="158">
        <f t="shared" si="10"/>
        <v>5.0748540979446828</v>
      </c>
      <c r="N26" s="159">
        <f t="shared" si="10"/>
        <v>11.21414707785206</v>
      </c>
      <c r="O26" s="157">
        <f t="shared" si="10"/>
        <v>8.4662483936805497</v>
      </c>
      <c r="P26" s="157">
        <f t="shared" si="10"/>
        <v>15.054067425259735</v>
      </c>
      <c r="Q26" s="160">
        <f t="shared" si="10"/>
        <v>4.5680505172645329</v>
      </c>
      <c r="R26" s="156">
        <f t="shared" si="10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</row>
    <row r="27" spans="1:25" x14ac:dyDescent="0.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214"/>
      <c r="U27" s="215"/>
      <c r="V27" s="216"/>
      <c r="W27" s="217"/>
      <c r="X27" s="214"/>
      <c r="Y27" s="215"/>
    </row>
    <row r="28" spans="1:25" x14ac:dyDescent="0.25">
      <c r="A28" s="54" t="s">
        <v>183</v>
      </c>
      <c r="B28" s="165">
        <f t="shared" ref="B28:R28" si="11">B27/B$21</f>
        <v>1.4526259595021873</v>
      </c>
      <c r="C28" s="161">
        <f t="shared" si="11"/>
        <v>0.94412480566227175</v>
      </c>
      <c r="D28" s="161">
        <f t="shared" si="11"/>
        <v>0.89549247378217389</v>
      </c>
      <c r="E28" s="162">
        <f t="shared" si="11"/>
        <v>0.72333123416757594</v>
      </c>
      <c r="F28" s="163">
        <f t="shared" si="11"/>
        <v>0.4735961641277675</v>
      </c>
      <c r="G28" s="161">
        <f t="shared" si="11"/>
        <v>0.65809408619262844</v>
      </c>
      <c r="H28" s="161">
        <f t="shared" si="11"/>
        <v>0.62356043868857269</v>
      </c>
      <c r="I28" s="164">
        <f t="shared" si="11"/>
        <v>0.93527734672058227</v>
      </c>
      <c r="J28" s="165">
        <f t="shared" si="11"/>
        <v>0.54840691293308197</v>
      </c>
      <c r="K28" s="161">
        <f t="shared" si="11"/>
        <v>0.73691874554526016</v>
      </c>
      <c r="L28" s="161">
        <f t="shared" si="11"/>
        <v>0.81430352181422239</v>
      </c>
      <c r="M28" s="162">
        <f t="shared" si="11"/>
        <v>1.0911507231667086</v>
      </c>
      <c r="N28" s="163">
        <f t="shared" si="11"/>
        <v>0.6413899072676299</v>
      </c>
      <c r="O28" s="161">
        <f t="shared" si="11"/>
        <v>0.85980195026079076</v>
      </c>
      <c r="P28" s="161">
        <f t="shared" si="11"/>
        <v>0.84832709025372821</v>
      </c>
      <c r="Q28" s="164">
        <f t="shared" si="11"/>
        <v>1.0628039768910391</v>
      </c>
      <c r="R28" s="165">
        <f t="shared" si="11"/>
        <v>0.77883055296807513</v>
      </c>
      <c r="S28" s="161">
        <f>S27/S$21</f>
        <v>0.81285788889614186</v>
      </c>
      <c r="T28" s="242"/>
      <c r="U28" s="243"/>
      <c r="V28" s="244"/>
      <c r="W28" s="245"/>
      <c r="X28" s="242"/>
      <c r="Y28" s="243"/>
    </row>
    <row r="29" spans="1:25" x14ac:dyDescent="0.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/>
      <c r="U29" s="219"/>
      <c r="V29" s="220"/>
      <c r="W29" s="221"/>
      <c r="X29" s="218"/>
      <c r="Y29" s="219"/>
    </row>
    <row r="30" spans="1:25" x14ac:dyDescent="0.25">
      <c r="A30" s="54" t="s">
        <v>179</v>
      </c>
      <c r="B30" s="151">
        <f>B29/B27</f>
        <v>18.915698137884633</v>
      </c>
      <c r="C30" s="152">
        <f t="shared" ref="C30:S30" si="12">C29/C27</f>
        <v>15.456153371701532</v>
      </c>
      <c r="D30" s="152">
        <f t="shared" si="12"/>
        <v>15.373480063624466</v>
      </c>
      <c r="E30" s="153">
        <f t="shared" si="12"/>
        <v>18.340976905489789</v>
      </c>
      <c r="F30" s="154">
        <f t="shared" si="12"/>
        <v>17.18413999346048</v>
      </c>
      <c r="G30" s="152">
        <f t="shared" si="12"/>
        <v>16.614887394307697</v>
      </c>
      <c r="H30" s="152">
        <f t="shared" si="12"/>
        <v>16.149297811403112</v>
      </c>
      <c r="I30" s="155">
        <f t="shared" si="12"/>
        <v>15.751835088787841</v>
      </c>
      <c r="J30" s="151">
        <f t="shared" si="12"/>
        <v>15.980882682398628</v>
      </c>
      <c r="K30" s="152">
        <f t="shared" si="12"/>
        <v>15.088543636358359</v>
      </c>
      <c r="L30" s="152">
        <f t="shared" si="12"/>
        <v>15.400107708537744</v>
      </c>
      <c r="M30" s="153">
        <f t="shared" si="12"/>
        <v>14.301577243051232</v>
      </c>
      <c r="N30" s="154">
        <f t="shared" si="12"/>
        <v>15.466733913335856</v>
      </c>
      <c r="O30" s="152">
        <f t="shared" si="12"/>
        <v>15.297617791656995</v>
      </c>
      <c r="P30" s="152">
        <f t="shared" si="12"/>
        <v>15.079588568838739</v>
      </c>
      <c r="Q30" s="155">
        <f t="shared" si="12"/>
        <v>15.928297378783745</v>
      </c>
      <c r="R30" s="151">
        <f t="shared" si="12"/>
        <v>13.482349538610078</v>
      </c>
      <c r="S30" s="152">
        <f t="shared" si="12"/>
        <v>13.170395200194024</v>
      </c>
      <c r="T30" s="238"/>
      <c r="U30" s="239"/>
      <c r="V30" s="240"/>
      <c r="W30" s="241"/>
      <c r="X30" s="238"/>
      <c r="Y30" s="239"/>
    </row>
    <row r="31" spans="1:25" x14ac:dyDescent="0.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v>9.6772179038084456</v>
      </c>
      <c r="U31" s="219">
        <v>6.8950177564635187</v>
      </c>
      <c r="V31" s="220"/>
      <c r="W31" s="221"/>
      <c r="X31" s="218"/>
      <c r="Y31" s="219"/>
    </row>
    <row r="32" spans="1:25" x14ac:dyDescent="0.25">
      <c r="A32" s="54" t="s">
        <v>180</v>
      </c>
      <c r="B32" s="165">
        <f t="shared" ref="B32:S32" si="13">B31/B29</f>
        <v>0.5714285714285714</v>
      </c>
      <c r="C32" s="161">
        <f t="shared" si="13"/>
        <v>0.64779874213836486</v>
      </c>
      <c r="D32" s="161">
        <f t="shared" si="13"/>
        <v>0.55555555555555558</v>
      </c>
      <c r="E32" s="162">
        <f t="shared" si="13"/>
        <v>0.37254901960784309</v>
      </c>
      <c r="F32" s="163">
        <f t="shared" si="13"/>
        <v>0.51388888888888895</v>
      </c>
      <c r="G32" s="161">
        <f t="shared" si="13"/>
        <v>0.64383561643835618</v>
      </c>
      <c r="H32" s="161">
        <f t="shared" si="13"/>
        <v>0.62121212121212122</v>
      </c>
      <c r="I32" s="164">
        <f t="shared" si="13"/>
        <v>0.5714285714285714</v>
      </c>
      <c r="J32" s="165">
        <f t="shared" si="13"/>
        <v>0.63551401869158886</v>
      </c>
      <c r="K32" s="161">
        <f t="shared" si="13"/>
        <v>0.67948717948717952</v>
      </c>
      <c r="L32" s="161">
        <f t="shared" si="13"/>
        <v>0.6706586826347305</v>
      </c>
      <c r="M32" s="162">
        <f t="shared" si="13"/>
        <v>0.66666666666666674</v>
      </c>
      <c r="N32" s="163">
        <f t="shared" si="13"/>
        <v>0.59782608695652184</v>
      </c>
      <c r="O32" s="161">
        <f t="shared" si="13"/>
        <v>0.66666666666666674</v>
      </c>
      <c r="P32" s="161">
        <f t="shared" si="13"/>
        <v>0.66298342541436461</v>
      </c>
      <c r="Q32" s="164">
        <f t="shared" si="13"/>
        <v>0.66666666666666685</v>
      </c>
      <c r="R32" s="165">
        <f t="shared" si="13"/>
        <v>0.84677419354838712</v>
      </c>
      <c r="S32" s="161">
        <f t="shared" si="13"/>
        <v>0.82317073170731714</v>
      </c>
      <c r="T32" s="242"/>
      <c r="U32" s="243"/>
      <c r="V32" s="244"/>
      <c r="W32" s="245"/>
      <c r="X32" s="242"/>
      <c r="Y32" s="243"/>
    </row>
    <row r="33" spans="1:25" ht="13.8" thickBot="1" x14ac:dyDescent="0.3">
      <c r="A33" s="55" t="s">
        <v>182</v>
      </c>
      <c r="B33" s="156">
        <f>B31/B27</f>
        <v>10.808970364505504</v>
      </c>
      <c r="C33" s="157">
        <f t="shared" ref="C33:S33" si="14">C31/C27</f>
        <v>10.012476712485899</v>
      </c>
      <c r="D33" s="157">
        <f t="shared" si="14"/>
        <v>8.5408222575691486</v>
      </c>
      <c r="E33" s="158">
        <f t="shared" si="14"/>
        <v>6.8329129647903137</v>
      </c>
      <c r="F33" s="159">
        <f t="shared" si="14"/>
        <v>8.8307386077505257</v>
      </c>
      <c r="G33" s="157">
        <f t="shared" si="14"/>
        <v>10.697256267567969</v>
      </c>
      <c r="H33" s="157">
        <f t="shared" si="14"/>
        <v>10.032139549507994</v>
      </c>
      <c r="I33" s="160">
        <f t="shared" si="14"/>
        <v>9.0010486221644808</v>
      </c>
      <c r="J33" s="156">
        <f t="shared" si="14"/>
        <v>10.15607497572997</v>
      </c>
      <c r="K33" s="157">
        <f t="shared" si="14"/>
        <v>10.252471958038372</v>
      </c>
      <c r="L33" s="157">
        <f t="shared" si="14"/>
        <v>10.328215948240883</v>
      </c>
      <c r="M33" s="158">
        <f t="shared" si="14"/>
        <v>9.5343848287008228</v>
      </c>
      <c r="N33" s="159">
        <f t="shared" si="14"/>
        <v>9.2464170134073065</v>
      </c>
      <c r="O33" s="157">
        <f t="shared" si="14"/>
        <v>10.198411861104663</v>
      </c>
      <c r="P33" s="157">
        <f t="shared" si="14"/>
        <v>9.997517283208003</v>
      </c>
      <c r="Q33" s="160">
        <f t="shared" si="14"/>
        <v>10.618864919189166</v>
      </c>
      <c r="R33" s="156">
        <f t="shared" si="14"/>
        <v>11.416505657694017</v>
      </c>
      <c r="S33" s="157">
        <f t="shared" si="14"/>
        <v>10.841483853818252</v>
      </c>
      <c r="T33" s="246"/>
      <c r="U33" s="247"/>
      <c r="V33" s="248"/>
      <c r="W33" s="249"/>
      <c r="X33" s="246"/>
      <c r="Y33" s="247"/>
    </row>
    <row r="34" spans="1:25" x14ac:dyDescent="0.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222"/>
      <c r="U34" s="223"/>
      <c r="V34" s="224"/>
      <c r="W34" s="225"/>
      <c r="X34" s="222"/>
      <c r="Y34" s="223"/>
    </row>
    <row r="35" spans="1:25" ht="26.4" x14ac:dyDescent="0.2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</row>
    <row r="36" spans="1:25" x14ac:dyDescent="0.25">
      <c r="A36" s="54" t="s">
        <v>186</v>
      </c>
      <c r="B36" s="165">
        <f>B34/(B$27+'EBITDA (baseline)'!B$19)</f>
        <v>0.38187690183857892</v>
      </c>
      <c r="C36" s="161">
        <f>C34/(C$27+'EBITDA (baseline)'!C$19)</f>
        <v>0.58271073426647835</v>
      </c>
      <c r="D36" s="161">
        <f>D34/(D$27+'EBITDA (baseline)'!D$19)</f>
        <v>7.905643996012994E-2</v>
      </c>
      <c r="E36" s="162">
        <f>E34/(E$27+'EBITDA (baseline)'!E$19)</f>
        <v>2.5073256284212624E-2</v>
      </c>
      <c r="F36" s="163">
        <f>F34/(F$27+'EBITDA (baseline)'!F$19)</f>
        <v>0.5800876317270629</v>
      </c>
      <c r="G36" s="161">
        <f>G34/(G$27+'EBITDA (baseline)'!G$19)</f>
        <v>1.3341142365874108</v>
      </c>
      <c r="H36" s="161">
        <f>H34/(H$27+'EBITDA (baseline)'!H$19)</f>
        <v>8.759796106691016E-2</v>
      </c>
      <c r="I36" s="164">
        <f>I34/(I$27+'EBITDA (baseline)'!I$19)</f>
        <v>6.3712922087494645E-3</v>
      </c>
      <c r="J36" s="165">
        <f>J34/(J$27+'EBITDA (baseline)'!J$19)</f>
        <v>0.56768635612697049</v>
      </c>
      <c r="K36" s="161">
        <f>K34/(K$27+'EBITDA (baseline)'!K$19)</f>
        <v>1.0414383555534064</v>
      </c>
      <c r="L36" s="161">
        <f>L34/(L$27+'EBITDA (baseline)'!L$19)</f>
        <v>1.5337481162042397E-2</v>
      </c>
      <c r="M36" s="162">
        <f>M34/(M$27+'EBITDA (baseline)'!M$19)</f>
        <v>1.2033621579003267E-2</v>
      </c>
      <c r="N36" s="163">
        <f>N34/(N$27+'EBITDA (baseline)'!N$19)</f>
        <v>0.73974714898060934</v>
      </c>
      <c r="O36" s="161">
        <f>O34/(O$27+'EBITDA (baseline)'!O$19)</f>
        <v>1.0432971729934279</v>
      </c>
      <c r="P36" s="161">
        <f>P34/(P$27+'EBITDA (baseline)'!P$19)</f>
        <v>4.8732551848262237E-2</v>
      </c>
      <c r="Q36" s="164">
        <f>Q34/(Q$27+'EBITDA (baseline)'!Q$19)</f>
        <v>2.3895587274622921E-2</v>
      </c>
      <c r="R36" s="165">
        <f>R34/(R$27+'EBITDA (baseline)'!R$19)</f>
        <v>0.5361978981146146</v>
      </c>
      <c r="S36" s="161">
        <f>S34/(S$27+'EBITDA (baseline)'!S$19)</f>
        <v>1.0546982766716377</v>
      </c>
      <c r="T36" s="242"/>
      <c r="U36" s="243"/>
      <c r="V36" s="244"/>
      <c r="W36" s="245"/>
      <c r="X36" s="242"/>
      <c r="Y36" s="243"/>
    </row>
    <row r="37" spans="1:25" x14ac:dyDescent="0.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/>
      <c r="U37" s="227"/>
      <c r="V37" s="228"/>
      <c r="W37" s="229"/>
      <c r="X37" s="226"/>
      <c r="Y37" s="227"/>
    </row>
    <row r="38" spans="1:25" x14ac:dyDescent="0.25">
      <c r="A38" s="54" t="s">
        <v>179</v>
      </c>
      <c r="B38" s="151">
        <f t="shared" ref="B38:S38" si="15">B37/B34</f>
        <v>19.522589545252991</v>
      </c>
      <c r="C38" s="152">
        <f t="shared" si="15"/>
        <v>19.522589545252988</v>
      </c>
      <c r="D38" s="152">
        <f t="shared" si="15"/>
        <v>130.27295285359824</v>
      </c>
      <c r="E38" s="153">
        <f t="shared" si="15"/>
        <v>130.27295285359824</v>
      </c>
      <c r="F38" s="154">
        <f t="shared" si="15"/>
        <v>24.723141677904461</v>
      </c>
      <c r="G38" s="152">
        <f t="shared" si="15"/>
        <v>24.723293224387383</v>
      </c>
      <c r="H38" s="152">
        <f t="shared" si="15"/>
        <v>102.02966148015901</v>
      </c>
      <c r="I38" s="155">
        <f t="shared" si="15"/>
        <v>102.02966148015901</v>
      </c>
      <c r="J38" s="151">
        <f t="shared" si="15"/>
        <v>13.761097659402742</v>
      </c>
      <c r="K38" s="152">
        <f t="shared" si="15"/>
        <v>13.76109765940274</v>
      </c>
      <c r="L38" s="152">
        <f t="shared" si="15"/>
        <v>184.03547671840494</v>
      </c>
      <c r="M38" s="153">
        <f t="shared" si="15"/>
        <v>184.03547671840494</v>
      </c>
      <c r="N38" s="154">
        <f t="shared" si="15"/>
        <v>11.590326535161038</v>
      </c>
      <c r="O38" s="152">
        <f t="shared" si="15"/>
        <v>11.590326535161038</v>
      </c>
      <c r="P38" s="152">
        <f t="shared" si="15"/>
        <v>54.730258014073563</v>
      </c>
      <c r="Q38" s="155">
        <f t="shared" si="15"/>
        <v>54.730258014073556</v>
      </c>
      <c r="R38" s="151">
        <f t="shared" si="15"/>
        <v>14.564928198656069</v>
      </c>
      <c r="S38" s="152">
        <f t="shared" si="15"/>
        <v>14.564928198656071</v>
      </c>
      <c r="T38" s="238"/>
      <c r="U38" s="239"/>
      <c r="V38" s="240"/>
      <c r="W38" s="241"/>
      <c r="X38" s="238"/>
      <c r="Y38" s="239"/>
    </row>
    <row r="39" spans="1:25" x14ac:dyDescent="0.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v>8.3905273301697214</v>
      </c>
      <c r="U39" s="227">
        <v>-0.77978878533175844</v>
      </c>
      <c r="V39" s="228"/>
      <c r="W39" s="229"/>
      <c r="X39" s="226"/>
      <c r="Y39" s="227"/>
    </row>
    <row r="40" spans="1:25" x14ac:dyDescent="0.25">
      <c r="A40" s="54" t="s">
        <v>180</v>
      </c>
      <c r="B40" s="165">
        <f t="shared" ref="B40:S40" si="16">B39/B37</f>
        <v>0.31182795698924726</v>
      </c>
      <c r="C40" s="161">
        <f t="shared" si="16"/>
        <v>0.4241071428571429</v>
      </c>
      <c r="D40" s="161">
        <f t="shared" si="16"/>
        <v>0.5</v>
      </c>
      <c r="E40" s="162">
        <f t="shared" si="16"/>
        <v>0.41463414634146312</v>
      </c>
      <c r="F40" s="163">
        <f t="shared" si="16"/>
        <v>0.46938775510204073</v>
      </c>
      <c r="G40" s="161">
        <f t="shared" si="16"/>
        <v>0.58579881656804733</v>
      </c>
      <c r="H40" s="161">
        <f t="shared" si="16"/>
        <v>0.61832061068702293</v>
      </c>
      <c r="I40" s="164">
        <f t="shared" si="16"/>
        <v>-3.5555555555555283</v>
      </c>
      <c r="J40" s="165">
        <f t="shared" si="16"/>
        <v>0.48913043478260876</v>
      </c>
      <c r="K40" s="161">
        <f t="shared" si="16"/>
        <v>0.5381526104417671</v>
      </c>
      <c r="L40" s="161">
        <f t="shared" si="16"/>
        <v>0.125</v>
      </c>
      <c r="M40" s="162">
        <f t="shared" si="16"/>
        <v>-5.7142857142856822E-2</v>
      </c>
      <c r="N40" s="163">
        <f t="shared" si="16"/>
        <v>0.6</v>
      </c>
      <c r="O40" s="161">
        <f t="shared" si="16"/>
        <v>0.68281938325991187</v>
      </c>
      <c r="P40" s="161">
        <f t="shared" si="16"/>
        <v>0.58490566037735847</v>
      </c>
      <c r="Q40" s="164">
        <f t="shared" si="16"/>
        <v>-0.17647058823529632</v>
      </c>
      <c r="R40" s="165">
        <f t="shared" si="16"/>
        <v>0.67619047619047612</v>
      </c>
      <c r="S40" s="161">
        <f t="shared" si="16"/>
        <v>0.71428571428571419</v>
      </c>
      <c r="T40" s="242"/>
      <c r="U40" s="243"/>
      <c r="V40" s="244"/>
      <c r="W40" s="245"/>
      <c r="X40" s="242"/>
      <c r="Y40" s="243"/>
    </row>
    <row r="41" spans="1:25" ht="13.8" thickBot="1" x14ac:dyDescent="0.3">
      <c r="A41" s="55" t="s">
        <v>182</v>
      </c>
      <c r="B41" s="156">
        <f>B39/B34</f>
        <v>6.087689213035878</v>
      </c>
      <c r="C41" s="157">
        <f t="shared" ref="C41:S41" si="17">C39/C34</f>
        <v>8.2796696732099733</v>
      </c>
      <c r="D41" s="157">
        <f t="shared" si="17"/>
        <v>65.136476426799121</v>
      </c>
      <c r="E41" s="158">
        <f t="shared" si="17"/>
        <v>54.01561459783337</v>
      </c>
      <c r="F41" s="159">
        <f t="shared" si="17"/>
        <v>11.604739971261274</v>
      </c>
      <c r="G41" s="157">
        <f t="shared" si="17"/>
        <v>14.482875912510952</v>
      </c>
      <c r="H41" s="157">
        <f t="shared" si="17"/>
        <v>63.087042594602138</v>
      </c>
      <c r="I41" s="160">
        <f t="shared" si="17"/>
        <v>-362.77212970722928</v>
      </c>
      <c r="J41" s="156">
        <f t="shared" si="17"/>
        <v>6.7309716812296028</v>
      </c>
      <c r="K41" s="157">
        <f t="shared" si="17"/>
        <v>7.4055706279516764</v>
      </c>
      <c r="L41" s="157">
        <f t="shared" si="17"/>
        <v>23.004434589800617</v>
      </c>
      <c r="M41" s="158">
        <f t="shared" si="17"/>
        <v>-10.516312955337366</v>
      </c>
      <c r="N41" s="159">
        <f t="shared" si="17"/>
        <v>6.9541959210966224</v>
      </c>
      <c r="O41" s="157">
        <f t="shared" si="17"/>
        <v>7.9140996165196524</v>
      </c>
      <c r="P41" s="157">
        <f t="shared" si="17"/>
        <v>32.01203770634492</v>
      </c>
      <c r="Q41" s="160">
        <f t="shared" si="17"/>
        <v>-9.658280826013101</v>
      </c>
      <c r="R41" s="156">
        <f t="shared" si="17"/>
        <v>9.8486657343293409</v>
      </c>
      <c r="S41" s="157">
        <f t="shared" si="17"/>
        <v>10.403520141897193</v>
      </c>
      <c r="T41" s="246"/>
      <c r="U41" s="247"/>
      <c r="V41" s="248"/>
      <c r="W41" s="249"/>
      <c r="X41" s="246"/>
      <c r="Y41" s="247"/>
    </row>
    <row r="42" spans="1:25" ht="3.6" customHeight="1" thickBot="1" x14ac:dyDescent="0.3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</row>
    <row r="43" spans="1:25" x14ac:dyDescent="0.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231">
        <f>Farming!M30</f>
        <v>2.1208800000000001</v>
      </c>
      <c r="V43" s="232"/>
      <c r="W43" s="233"/>
      <c r="X43" s="230"/>
      <c r="Y43" s="231"/>
    </row>
    <row r="44" spans="1:25" x14ac:dyDescent="0.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/>
      <c r="V44" s="290"/>
      <c r="W44" s="291"/>
      <c r="X44" s="292"/>
      <c r="Y44" s="293"/>
    </row>
    <row r="45" spans="1:25" x14ac:dyDescent="0.25">
      <c r="A45" s="190" t="s">
        <v>218</v>
      </c>
      <c r="B45" s="283"/>
      <c r="C45" s="281"/>
      <c r="D45" s="281"/>
      <c r="E45" s="298">
        <f>E44*Farming!$I$31/SUM(Farming!$I$2:$I$7)*10^6/43100</f>
        <v>40.173891806081329</v>
      </c>
      <c r="F45" s="280"/>
      <c r="G45" s="281"/>
      <c r="H45" s="281"/>
      <c r="I45" s="284">
        <f>I44*Farming!$J$31/SUM(Farming!$J$2:$J$7)*10^6/43100</f>
        <v>88.367340945012629</v>
      </c>
      <c r="J45" s="280"/>
      <c r="K45" s="281"/>
      <c r="L45" s="281"/>
      <c r="M45" s="284">
        <f>M44*Farming!$K$31/SUM(Farming!$K$2:$K$7)*10^6/43100</f>
        <v>92.282113647996837</v>
      </c>
      <c r="N45" s="288"/>
      <c r="O45" s="286"/>
      <c r="P45" s="286"/>
      <c r="Q45" s="289">
        <f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</row>
    <row r="46" spans="1:25" x14ac:dyDescent="0.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/>
      <c r="U46" s="235"/>
      <c r="V46" s="236"/>
      <c r="W46" s="237"/>
      <c r="X46" s="234"/>
      <c r="Y46" s="235"/>
    </row>
    <row r="47" spans="1:25" outlineLevel="1" x14ac:dyDescent="0.25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153">
        <f>SUM(R46:U46)/U43</f>
        <v>127.87144958696389</v>
      </c>
      <c r="V47" s="154"/>
      <c r="W47" s="152"/>
      <c r="X47" s="152"/>
      <c r="Y47" s="153" t="e">
        <f>SUM(V46:Y46)/Y43</f>
        <v>#DIV/0!</v>
      </c>
    </row>
    <row r="48" spans="1:25" x14ac:dyDescent="0.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array" ref="T48">AVERAGE($J$48:$S$48+$J$54:$S$54)</f>
        <v>34.530000000000008</v>
      </c>
      <c r="U48" s="234">
        <f t="array" ref="U48">AVERAGE($J$48:$S$48+$J$54:$S$54)</f>
        <v>34.530000000000008</v>
      </c>
      <c r="V48" s="236"/>
      <c r="W48" s="237"/>
      <c r="X48" s="234"/>
      <c r="Y48" s="235"/>
    </row>
    <row r="49" spans="1:25" ht="13.8" thickBot="1" x14ac:dyDescent="0.3">
      <c r="A49" s="54" t="s">
        <v>180</v>
      </c>
      <c r="B49" s="165">
        <f t="shared" ref="B49:S49" si="18">B48/B46</f>
        <v>0.29804372842347521</v>
      </c>
      <c r="C49" s="161">
        <f t="shared" si="18"/>
        <v>-0.1953125</v>
      </c>
      <c r="D49" s="161">
        <f t="shared" si="18"/>
        <v>-0.29166666666666669</v>
      </c>
      <c r="E49" s="162">
        <f t="shared" si="18"/>
        <v>1.9139072847682128</v>
      </c>
      <c r="F49" s="163">
        <f t="shared" si="18"/>
        <v>-9.1559370529327611E-2</v>
      </c>
      <c r="G49" s="161">
        <f t="shared" si="18"/>
        <v>-0.25575757575757579</v>
      </c>
      <c r="H49" s="161">
        <f t="shared" si="18"/>
        <v>-0.61604584527220629</v>
      </c>
      <c r="I49" s="164">
        <f t="shared" si="18"/>
        <v>1.2709359605911321</v>
      </c>
      <c r="J49" s="165">
        <f t="shared" si="18"/>
        <v>0.1934900542495479</v>
      </c>
      <c r="K49" s="161">
        <f t="shared" si="18"/>
        <v>0.30131306150656534</v>
      </c>
      <c r="L49" s="161">
        <f t="shared" si="18"/>
        <v>0.26552462526766596</v>
      </c>
      <c r="M49" s="162">
        <f t="shared" si="18"/>
        <v>0.48979591836734709</v>
      </c>
      <c r="N49" s="163">
        <f t="shared" si="18"/>
        <v>0.40213523131672596</v>
      </c>
      <c r="O49" s="161">
        <f t="shared" si="18"/>
        <v>0.39642481598317558</v>
      </c>
      <c r="P49" s="161">
        <f t="shared" si="18"/>
        <v>3.2376237623762378</v>
      </c>
      <c r="Q49" s="164">
        <f t="shared" si="18"/>
        <v>3.5538461538461572</v>
      </c>
      <c r="R49" s="165">
        <f t="shared" si="18"/>
        <v>0.53073770491803274</v>
      </c>
      <c r="S49" s="161">
        <f t="shared" si="18"/>
        <v>0.44711538461538458</v>
      </c>
      <c r="T49" s="242"/>
      <c r="U49" s="243"/>
      <c r="V49" s="244"/>
      <c r="W49" s="245"/>
      <c r="X49" s="242"/>
      <c r="Y49" s="243"/>
    </row>
    <row r="50" spans="1:25" ht="13.8" hidden="1" outlineLevel="1" thickBot="1" x14ac:dyDescent="0.3">
      <c r="A50" s="55" t="s">
        <v>182</v>
      </c>
      <c r="B50" s="156" t="e">
        <f t="shared" ref="B50:S50" si="19">B48/B43</f>
        <v>#DIV/0!</v>
      </c>
      <c r="C50" s="157" t="e">
        <f t="shared" si="19"/>
        <v>#DIV/0!</v>
      </c>
      <c r="D50" s="157" t="e">
        <f t="shared" si="19"/>
        <v>#DIV/0!</v>
      </c>
      <c r="E50" s="158">
        <f t="shared" si="19"/>
        <v>94.198174706649283</v>
      </c>
      <c r="F50" s="159" t="e">
        <f t="shared" si="19"/>
        <v>#DIV/0!</v>
      </c>
      <c r="G50" s="157" t="e">
        <f t="shared" si="19"/>
        <v>#DIV/0!</v>
      </c>
      <c r="H50" s="157" t="e">
        <f t="shared" si="19"/>
        <v>#DIV/0!</v>
      </c>
      <c r="I50" s="160">
        <f t="shared" si="19"/>
        <v>18.759543372355122</v>
      </c>
      <c r="J50" s="156" t="e">
        <f t="shared" si="19"/>
        <v>#DIV/0!</v>
      </c>
      <c r="K50" s="157" t="e">
        <f t="shared" si="19"/>
        <v>#DIV/0!</v>
      </c>
      <c r="L50" s="157" t="e">
        <f t="shared" si="19"/>
        <v>#DIV/0!</v>
      </c>
      <c r="M50" s="158">
        <f t="shared" si="19"/>
        <v>17.347789824854047</v>
      </c>
      <c r="N50" s="159" t="e">
        <f t="shared" si="19"/>
        <v>#DIV/0!</v>
      </c>
      <c r="O50" s="157" t="e">
        <f t="shared" si="19"/>
        <v>#DIV/0!</v>
      </c>
      <c r="P50" s="157" t="e">
        <f t="shared" si="19"/>
        <v>#DIV/0!</v>
      </c>
      <c r="Q50" s="160">
        <f t="shared" si="19"/>
        <v>12.704174228675148</v>
      </c>
      <c r="R50" s="156" t="e">
        <f t="shared" si="19"/>
        <v>#DIV/0!</v>
      </c>
      <c r="S50" s="157" t="e">
        <f t="shared" si="19"/>
        <v>#DIV/0!</v>
      </c>
      <c r="T50" s="246"/>
      <c r="U50" s="247"/>
      <c r="V50" s="248"/>
      <c r="W50" s="249"/>
      <c r="X50" s="246"/>
      <c r="Y50" s="247"/>
    </row>
    <row r="51" spans="1:25" ht="3.6" customHeight="1" collapsed="1" thickBot="1" x14ac:dyDescent="0.3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</row>
    <row r="52" spans="1:25" x14ac:dyDescent="0.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</row>
    <row r="53" spans="1:25" x14ac:dyDescent="0.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</row>
    <row r="54" spans="1:25" x14ac:dyDescent="0.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</row>
    <row r="55" spans="1:25" ht="13.8" thickBot="1" x14ac:dyDescent="0.3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306">
        <f>AVERAGE(J55:S55)</f>
        <v>-8.5699999999999985</v>
      </c>
      <c r="U55" s="306">
        <f>AVERAGE(K55:T55)</f>
        <v>-8.7469999999999999</v>
      </c>
      <c r="V55" s="304"/>
      <c r="W55" s="305"/>
      <c r="X55" s="302"/>
      <c r="Y55" s="303">
        <f>0-SUM(V55:X55)</f>
        <v>0</v>
      </c>
    </row>
    <row r="57" spans="1:25" x14ac:dyDescent="0.25">
      <c r="A57" s="30" t="s">
        <v>212</v>
      </c>
      <c r="B57" s="85">
        <f t="shared" ref="B57:M57" si="20">SUM(B24,B31,B39,B5,B11,B48,B52,B54,B55)</f>
        <v>74.999999999999986</v>
      </c>
      <c r="C57" s="85">
        <f t="shared" si="20"/>
        <v>80.899999999999991</v>
      </c>
      <c r="D57" s="85">
        <f t="shared" si="20"/>
        <v>45</v>
      </c>
      <c r="E57" s="85">
        <f t="shared" si="20"/>
        <v>86.699999999999989</v>
      </c>
      <c r="F57" s="85">
        <f t="shared" si="20"/>
        <v>3.0000000000000036</v>
      </c>
      <c r="G57" s="85">
        <f t="shared" si="20"/>
        <v>57.5</v>
      </c>
      <c r="H57" s="85">
        <f t="shared" si="20"/>
        <v>30.099999999999994</v>
      </c>
      <c r="I57" s="85">
        <f t="shared" si="20"/>
        <v>132.39999999999998</v>
      </c>
      <c r="J57" s="85">
        <f t="shared" si="20"/>
        <v>80.500000000000014</v>
      </c>
      <c r="K57" s="85">
        <f t="shared" si="20"/>
        <v>142.30000000000001</v>
      </c>
      <c r="L57" s="85">
        <f t="shared" si="20"/>
        <v>115.20000000000002</v>
      </c>
      <c r="M57" s="85">
        <f t="shared" si="2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U57" si="21">SUM(P24,P31,P39,P5,P11,P48,P52,P54,P55)</f>
        <v>99.000000000000014</v>
      </c>
      <c r="Q57" s="85">
        <f t="shared" si="21"/>
        <v>47.300000000000011</v>
      </c>
      <c r="R57" s="85">
        <f t="shared" si="21"/>
        <v>72.400000000000006</v>
      </c>
      <c r="S57" s="85">
        <f t="shared" si="21"/>
        <v>130.19999999999999</v>
      </c>
      <c r="T57" s="84">
        <f t="shared" si="21"/>
        <v>86.97416247919648</v>
      </c>
      <c r="U57" s="84">
        <f t="shared" si="21"/>
        <v>63.151916302594927</v>
      </c>
    </row>
    <row r="58" spans="1:25" x14ac:dyDescent="0.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352.72607878179144</v>
      </c>
    </row>
    <row r="60" spans="1:25" x14ac:dyDescent="0.25">
      <c r="A60" s="30" t="s">
        <v>203</v>
      </c>
    </row>
    <row r="61" spans="1:25" x14ac:dyDescent="0.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</row>
    <row r="62" spans="1:25" x14ac:dyDescent="0.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70"/>
  <sheetViews>
    <sheetView zoomScaleNormal="100" workbookViewId="0">
      <pane xSplit="1" ySplit="1" topLeftCell="L25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Z48" sqref="Z48:AC48"/>
    </sheetView>
  </sheetViews>
  <sheetFormatPr defaultRowHeight="13.2" outlineLevelRow="1" x14ac:dyDescent="0.25"/>
  <cols>
    <col min="1" max="1" width="40" bestFit="1" customWidth="1"/>
    <col min="2" max="2" width="8" customWidth="1"/>
    <col min="3" max="4" width="7.5546875" bestFit="1" customWidth="1"/>
    <col min="5" max="5" width="8" bestFit="1" customWidth="1"/>
    <col min="6" max="15" width="7.5546875" bestFit="1" customWidth="1"/>
    <col min="16" max="17" width="8.109375" bestFit="1" customWidth="1"/>
    <col min="18" max="19" width="7.5546875" bestFit="1" customWidth="1"/>
    <col min="20" max="20" width="7" bestFit="1" customWidth="1"/>
    <col min="21" max="21" width="7.5546875" bestFit="1" customWidth="1"/>
    <col min="25" max="25" width="9" bestFit="1" customWidth="1"/>
    <col min="29" max="29" width="9" bestFit="1" customWidth="1"/>
  </cols>
  <sheetData>
    <row r="1" spans="1:29" x14ac:dyDescent="0.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R2*1.3</f>
        <v>0.21749000000000002</v>
      </c>
      <c r="W2" s="192">
        <f>S2*1.3</f>
        <v>0.44343000000000005</v>
      </c>
      <c r="X2" s="192">
        <f>T2*1.3</f>
        <v>0.33281209272164147</v>
      </c>
      <c r="Y2" s="193">
        <f>U2*1.3</f>
        <v>0.37819555991095627</v>
      </c>
      <c r="Z2" s="340">
        <f t="shared" ref="Z2:AC2" si="0">V2</f>
        <v>0.21749000000000002</v>
      </c>
      <c r="AA2" s="192">
        <f t="shared" si="0"/>
        <v>0.44343000000000005</v>
      </c>
      <c r="AB2" s="192">
        <f t="shared" si="0"/>
        <v>0.33281209272164147</v>
      </c>
      <c r="AC2" s="193">
        <f t="shared" si="0"/>
        <v>0.37819555991095627</v>
      </c>
    </row>
    <row r="3" spans="1:29" x14ac:dyDescent="0.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1">T2*T4</f>
        <v>246.16233097071137</v>
      </c>
      <c r="U3" s="196">
        <f t="shared" si="1"/>
        <v>284.61727123934469</v>
      </c>
      <c r="V3" s="341">
        <f t="shared" si="1"/>
        <v>213.86928774890518</v>
      </c>
      <c r="W3" s="196">
        <f t="shared" si="1"/>
        <v>439.91259485383802</v>
      </c>
      <c r="X3" s="196">
        <f t="shared" si="1"/>
        <v>333.18203301574118</v>
      </c>
      <c r="Y3" s="197">
        <f t="shared" si="1"/>
        <v>380.84990303091678</v>
      </c>
      <c r="Z3" s="341">
        <f t="shared" si="1"/>
        <v>220.30112836876611</v>
      </c>
      <c r="AA3" s="196">
        <f t="shared" si="1"/>
        <v>451.7807642526235</v>
      </c>
      <c r="AB3" s="196">
        <f t="shared" si="1"/>
        <v>341.04555962160322</v>
      </c>
      <c r="AC3" s="197">
        <f t="shared" si="1"/>
        <v>389.78572871939633</v>
      </c>
    </row>
    <row r="4" spans="1:29" x14ac:dyDescent="0.25">
      <c r="A4" s="54" t="s">
        <v>179</v>
      </c>
      <c r="B4" s="151">
        <f t="shared" ref="B4:S4" si="2">B3/B2</f>
        <v>1465.8733429148617</v>
      </c>
      <c r="C4" s="152">
        <f t="shared" si="2"/>
        <v>1375.8231420507996</v>
      </c>
      <c r="D4" s="152">
        <f t="shared" si="2"/>
        <v>1741.6195337287902</v>
      </c>
      <c r="E4" s="153">
        <f t="shared" si="2"/>
        <v>1428.0695591076762</v>
      </c>
      <c r="F4" s="154">
        <f t="shared" si="2"/>
        <v>1217.3458725182863</v>
      </c>
      <c r="G4" s="152">
        <f t="shared" si="2"/>
        <v>1148.819279686109</v>
      </c>
      <c r="H4" s="152">
        <f t="shared" si="2"/>
        <v>1172.035977723755</v>
      </c>
      <c r="I4" s="155">
        <f t="shared" si="2"/>
        <v>1179.1282896941909</v>
      </c>
      <c r="J4" s="151">
        <f t="shared" si="2"/>
        <v>1147.5814412635734</v>
      </c>
      <c r="K4" s="152">
        <f t="shared" si="2"/>
        <v>1024.0920532182668</v>
      </c>
      <c r="L4" s="152">
        <f t="shared" si="2"/>
        <v>1103.932584269663</v>
      </c>
      <c r="M4" s="153">
        <f t="shared" si="2"/>
        <v>1023.3100233100236</v>
      </c>
      <c r="N4" s="154">
        <f t="shared" si="2"/>
        <v>1073.9570164348925</v>
      </c>
      <c r="O4" s="152">
        <f t="shared" si="2"/>
        <v>1067.003367003367</v>
      </c>
      <c r="P4" s="152">
        <f t="shared" si="2"/>
        <v>990.93466708346352</v>
      </c>
      <c r="Q4" s="155">
        <f t="shared" si="2"/>
        <v>1093.3908045977009</v>
      </c>
      <c r="R4" s="151">
        <f t="shared" si="2"/>
        <v>909.74297668858333</v>
      </c>
      <c r="S4" s="152">
        <f t="shared" si="2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 x14ac:dyDescent="0.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3">T3*T6</f>
        <v>24.750361864843534</v>
      </c>
      <c r="U5" s="197">
        <f t="shared" si="3"/>
        <v>27.104259929007899</v>
      </c>
      <c r="V5" s="341">
        <f t="shared" si="3"/>
        <v>19.77958355016473</v>
      </c>
      <c r="W5" s="196">
        <f t="shared" si="3"/>
        <v>39.694593758795975</v>
      </c>
      <c r="X5" s="196">
        <f t="shared" si="3"/>
        <v>29.845116057094266</v>
      </c>
      <c r="Y5" s="197">
        <f t="shared" si="3"/>
        <v>35.380120912365214</v>
      </c>
      <c r="Z5" s="341">
        <f t="shared" si="3"/>
        <v>20.596929403026046</v>
      </c>
      <c r="AA5" s="196">
        <f t="shared" si="3"/>
        <v>41.708111146600196</v>
      </c>
      <c r="AB5" s="196">
        <f t="shared" si="3"/>
        <v>31.319633043221145</v>
      </c>
      <c r="AC5" s="197">
        <f t="shared" si="3"/>
        <v>35.753400057613824</v>
      </c>
    </row>
    <row r="6" spans="1:29" x14ac:dyDescent="0.25">
      <c r="A6" s="54" t="s">
        <v>180</v>
      </c>
      <c r="B6" s="165">
        <f t="shared" ref="B6:S6" si="4">B5/B3</f>
        <v>0.13061364415495372</v>
      </c>
      <c r="C6" s="161">
        <f t="shared" si="4"/>
        <v>0.1211775878442545</v>
      </c>
      <c r="D6" s="161">
        <f t="shared" si="4"/>
        <v>0.12046204620462046</v>
      </c>
      <c r="E6" s="162">
        <f t="shared" si="4"/>
        <v>8.560885608856085E-2</v>
      </c>
      <c r="F6" s="163">
        <f t="shared" si="4"/>
        <v>6.8669527896995713E-3</v>
      </c>
      <c r="G6" s="161">
        <f t="shared" si="4"/>
        <v>0.16195543731293649</v>
      </c>
      <c r="H6" s="161">
        <f t="shared" si="4"/>
        <v>0.16161290322580646</v>
      </c>
      <c r="I6" s="164">
        <f t="shared" si="4"/>
        <v>0.14667424673109722</v>
      </c>
      <c r="J6" s="165">
        <f t="shared" si="4"/>
        <v>0.17591397849462365</v>
      </c>
      <c r="K6" s="161">
        <f t="shared" si="4"/>
        <v>0.1990870786516854</v>
      </c>
      <c r="L6" s="161">
        <f t="shared" si="4"/>
        <v>0.25227190112686299</v>
      </c>
      <c r="M6" s="162">
        <f t="shared" si="4"/>
        <v>8.3306215424666416E-2</v>
      </c>
      <c r="N6" s="163">
        <f t="shared" si="4"/>
        <v>0.13243084167157151</v>
      </c>
      <c r="O6" s="161">
        <f t="shared" si="4"/>
        <v>0.1117071631429473</v>
      </c>
      <c r="P6" s="161">
        <f t="shared" si="4"/>
        <v>0.10599369085173502</v>
      </c>
      <c r="Q6" s="164">
        <f t="shared" si="4"/>
        <v>9.4174332019272902E-2</v>
      </c>
      <c r="R6" s="165">
        <f t="shared" si="4"/>
        <v>6.9645203679369258E-2</v>
      </c>
      <c r="S6" s="161">
        <f t="shared" si="4"/>
        <v>8.9318044659022336E-2</v>
      </c>
      <c r="T6" s="242">
        <f t="shared" ref="T6:AC6" si="5">AVERAGE(N6:S6)</f>
        <v>0.10054487933731972</v>
      </c>
      <c r="U6" s="243">
        <f t="shared" si="5"/>
        <v>9.5230552281611092E-2</v>
      </c>
      <c r="V6" s="244">
        <f t="shared" si="5"/>
        <v>9.2484450471388382E-2</v>
      </c>
      <c r="W6" s="245">
        <f t="shared" si="5"/>
        <v>9.0232910407997288E-2</v>
      </c>
      <c r="X6" s="242">
        <f t="shared" si="5"/>
        <v>8.9576006806118005E-2</v>
      </c>
      <c r="Y6" s="243">
        <f t="shared" si="5"/>
        <v>9.2897807327242801E-2</v>
      </c>
      <c r="Z6" s="244">
        <f t="shared" si="5"/>
        <v>9.3494434438612883E-2</v>
      </c>
      <c r="AA6" s="245">
        <f t="shared" si="5"/>
        <v>9.2319360288828409E-2</v>
      </c>
      <c r="AB6" s="242">
        <f t="shared" si="5"/>
        <v>9.1834161623364621E-2</v>
      </c>
      <c r="AC6" s="243">
        <f t="shared" si="5"/>
        <v>9.1725780148693994E-2</v>
      </c>
    </row>
    <row r="7" spans="1:29" ht="13.8" thickBot="1" x14ac:dyDescent="0.3">
      <c r="A7" s="55" t="s">
        <v>182</v>
      </c>
      <c r="B7" s="156">
        <f t="shared" ref="B7:Y7" si="6">B5/B2</f>
        <v>191.46305918771421</v>
      </c>
      <c r="C7" s="157">
        <f t="shared" si="6"/>
        <v>166.71892965401901</v>
      </c>
      <c r="D7" s="157">
        <f t="shared" si="6"/>
        <v>209.79905274290707</v>
      </c>
      <c r="E7" s="158">
        <f t="shared" si="6"/>
        <v>122.2554013701036</v>
      </c>
      <c r="F7" s="159">
        <f t="shared" si="6"/>
        <v>8.3594566353187059</v>
      </c>
      <c r="G7" s="157">
        <f t="shared" si="6"/>
        <v>186.05752883509649</v>
      </c>
      <c r="H7" s="157">
        <f t="shared" si="6"/>
        <v>189.41613704503266</v>
      </c>
      <c r="I7" s="160">
        <f t="shared" si="6"/>
        <v>172.94775369022241</v>
      </c>
      <c r="J7" s="156">
        <f t="shared" si="6"/>
        <v>201.87561697926949</v>
      </c>
      <c r="K7" s="157">
        <f t="shared" si="6"/>
        <v>203.88349514563106</v>
      </c>
      <c r="L7" s="157">
        <f t="shared" si="6"/>
        <v>278.49117174959872</v>
      </c>
      <c r="M7" s="158">
        <f t="shared" si="6"/>
        <v>85.248085248085232</v>
      </c>
      <c r="N7" s="159">
        <f t="shared" si="6"/>
        <v>142.22503160556258</v>
      </c>
      <c r="O7" s="157">
        <f t="shared" si="6"/>
        <v>119.1919191919192</v>
      </c>
      <c r="P7" s="157">
        <f t="shared" si="6"/>
        <v>105.0328227571116</v>
      </c>
      <c r="Q7" s="160">
        <f t="shared" si="6"/>
        <v>102.96934865900384</v>
      </c>
      <c r="R7" s="156">
        <f t="shared" si="6"/>
        <v>63.359234907352061</v>
      </c>
      <c r="S7" s="157">
        <f t="shared" si="6"/>
        <v>86.778070946936381</v>
      </c>
      <c r="T7" s="246">
        <f t="shared" si="6"/>
        <v>96.677588128408615</v>
      </c>
      <c r="U7" s="247">
        <f t="shared" si="6"/>
        <v>93.167508143158145</v>
      </c>
      <c r="V7" s="248">
        <f t="shared" si="6"/>
        <v>90.944795393649031</v>
      </c>
      <c r="W7" s="249">
        <f t="shared" si="6"/>
        <v>89.517158872417227</v>
      </c>
      <c r="X7" s="246">
        <f t="shared" si="6"/>
        <v>89.675575827276887</v>
      </c>
      <c r="Y7" s="247">
        <f t="shared" si="6"/>
        <v>93.549805081517192</v>
      </c>
      <c r="Z7" s="248">
        <f>Z5/Z2</f>
        <v>94.702880146333371</v>
      </c>
      <c r="AA7" s="249">
        <f>AA5/AA2</f>
        <v>94.057937321787406</v>
      </c>
      <c r="AB7" s="246">
        <f>AB5/AB2</f>
        <v>94.106054822402044</v>
      </c>
      <c r="AC7" s="247">
        <f>AC5/AC2</f>
        <v>94.536805418952383</v>
      </c>
    </row>
    <row r="8" spans="1:29" x14ac:dyDescent="0.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7">R8</f>
        <v>21.3</v>
      </c>
      <c r="W8" s="200">
        <f t="shared" si="7"/>
        <v>36.200000000000003</v>
      </c>
      <c r="X8" s="200">
        <f t="shared" si="7"/>
        <v>26.058864405403209</v>
      </c>
      <c r="Y8" s="201">
        <f t="shared" si="7"/>
        <v>21.944306867707965</v>
      </c>
      <c r="Z8" s="342">
        <f t="shared" si="7"/>
        <v>21.3</v>
      </c>
      <c r="AA8" s="200">
        <f t="shared" si="7"/>
        <v>36.200000000000003</v>
      </c>
      <c r="AB8" s="200">
        <f t="shared" si="7"/>
        <v>26.058864405403209</v>
      </c>
      <c r="AC8" s="201">
        <f t="shared" si="7"/>
        <v>21.944306867707965</v>
      </c>
    </row>
    <row r="9" spans="1:29" x14ac:dyDescent="0.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8">T8*0.92/1000*T10</f>
        <v>27.532598963446485</v>
      </c>
      <c r="U9" s="204">
        <f t="shared" si="8"/>
        <v>22.950327065076618</v>
      </c>
      <c r="V9" s="346">
        <f t="shared" si="8"/>
        <v>22.658723546672523</v>
      </c>
      <c r="W9" s="204">
        <f t="shared" si="8"/>
        <v>38.703155701274049</v>
      </c>
      <c r="X9" s="204">
        <f t="shared" si="8"/>
        <v>28.103388110765227</v>
      </c>
      <c r="Y9" s="205">
        <f t="shared" si="8"/>
        <v>23.87800892149145</v>
      </c>
      <c r="Z9" s="346">
        <f t="shared" si="8"/>
        <v>23.311325401475603</v>
      </c>
      <c r="AA9" s="204">
        <f t="shared" si="8"/>
        <v>39.846723726592302</v>
      </c>
      <c r="AB9" s="204">
        <f t="shared" si="8"/>
        <v>28.848414409666869</v>
      </c>
      <c r="AC9" s="205">
        <f t="shared" si="8"/>
        <v>24.431865837023548</v>
      </c>
    </row>
    <row r="10" spans="1:29" x14ac:dyDescent="0.25">
      <c r="A10" s="54" t="s">
        <v>179</v>
      </c>
      <c r="B10" s="151">
        <f t="shared" ref="B10:S10" si="9">B9/(B8*0.92/1000)</f>
        <v>1799.624225253516</v>
      </c>
      <c r="C10" s="152">
        <f t="shared" si="9"/>
        <v>1731.6630402595561</v>
      </c>
      <c r="D10" s="152">
        <f t="shared" si="9"/>
        <v>1896.6459412715787</v>
      </c>
      <c r="E10" s="153">
        <f t="shared" si="9"/>
        <v>1952.2772791529899</v>
      </c>
      <c r="F10" s="154">
        <f t="shared" si="9"/>
        <v>1620.7298136645961</v>
      </c>
      <c r="G10" s="152">
        <f t="shared" si="9"/>
        <v>1595.9395861721496</v>
      </c>
      <c r="H10" s="152">
        <f t="shared" si="9"/>
        <v>1573.9738845482934</v>
      </c>
      <c r="I10" s="155">
        <f t="shared" si="9"/>
        <v>1250.097039496216</v>
      </c>
      <c r="J10" s="151">
        <f t="shared" si="9"/>
        <v>1253.8138825324179</v>
      </c>
      <c r="K10" s="152">
        <f t="shared" si="9"/>
        <v>1229.9771167048054</v>
      </c>
      <c r="L10" s="152">
        <f t="shared" si="9"/>
        <v>1223.9678480087687</v>
      </c>
      <c r="M10" s="153">
        <f t="shared" si="9"/>
        <v>1338.439007994622</v>
      </c>
      <c r="N10" s="154">
        <f t="shared" si="9"/>
        <v>1258.9044460820437</v>
      </c>
      <c r="O10" s="152">
        <f t="shared" si="9"/>
        <v>1192.1458625525947</v>
      </c>
      <c r="P10" s="152">
        <f t="shared" si="9"/>
        <v>1151.5658254788689</v>
      </c>
      <c r="Q10" s="155">
        <f t="shared" si="9"/>
        <v>1179.7454931071054</v>
      </c>
      <c r="R10" s="151">
        <f t="shared" si="9"/>
        <v>1189.0181669728518</v>
      </c>
      <c r="S10" s="152">
        <f t="shared" si="9"/>
        <v>1116.9829449915926</v>
      </c>
      <c r="T10" s="238">
        <f t="shared" ref="T10:Y10" si="10">S4*1.1611+20.347</f>
        <v>1148.4283251245968</v>
      </c>
      <c r="U10" s="239">
        <f t="shared" si="10"/>
        <v>1136.7872236666667</v>
      </c>
      <c r="V10" s="240">
        <f t="shared" si="10"/>
        <v>1156.2933020347277</v>
      </c>
      <c r="W10" s="241">
        <f t="shared" si="10"/>
        <v>1162.1173342923987</v>
      </c>
      <c r="X10" s="238">
        <f t="shared" si="10"/>
        <v>1172.2368448115628</v>
      </c>
      <c r="Y10" s="239">
        <f t="shared" si="10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 x14ac:dyDescent="0.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1">T9*T12</f>
        <v>3.7397331707525296</v>
      </c>
      <c r="U11" s="205">
        <f t="shared" si="11"/>
        <v>3.0024815913577836</v>
      </c>
      <c r="V11" s="346">
        <f t="shared" si="11"/>
        <v>2.6808826932634111</v>
      </c>
      <c r="W11" s="204">
        <f t="shared" si="11"/>
        <v>4.5547013766377908</v>
      </c>
      <c r="X11" s="204">
        <f t="shared" si="11"/>
        <v>3.41116584333483</v>
      </c>
      <c r="Y11" s="205">
        <f t="shared" si="11"/>
        <v>3.0397392258433933</v>
      </c>
      <c r="Z11" s="346">
        <f t="shared" si="11"/>
        <v>2.919103186162554</v>
      </c>
      <c r="AA11" s="204">
        <f t="shared" si="11"/>
        <v>4.9192669157610798</v>
      </c>
      <c r="AB11" s="204">
        <f t="shared" si="11"/>
        <v>3.5260357211296913</v>
      </c>
      <c r="AC11" s="205">
        <f t="shared" si="11"/>
        <v>3.0021412048767266</v>
      </c>
    </row>
    <row r="12" spans="1:29" x14ac:dyDescent="0.25">
      <c r="A12" s="54" t="s">
        <v>180</v>
      </c>
      <c r="B12" s="165">
        <f t="shared" ref="B12:S12" si="12">B11/B9</f>
        <v>0.17201834862385321</v>
      </c>
      <c r="C12" s="161">
        <f t="shared" si="12"/>
        <v>0.14869888475836432</v>
      </c>
      <c r="D12" s="161">
        <f t="shared" si="12"/>
        <v>0.14356435643564355</v>
      </c>
      <c r="E12" s="162">
        <f t="shared" si="12"/>
        <v>0.1004464285714286</v>
      </c>
      <c r="F12" s="163">
        <f t="shared" si="12"/>
        <v>0.11077844311377247</v>
      </c>
      <c r="G12" s="161">
        <f t="shared" si="12"/>
        <v>0.28923766816143498</v>
      </c>
      <c r="H12" s="161">
        <f t="shared" si="12"/>
        <v>0.20183486238532108</v>
      </c>
      <c r="I12" s="164">
        <f t="shared" si="12"/>
        <v>0.15525114155251141</v>
      </c>
      <c r="J12" s="165">
        <f t="shared" si="12"/>
        <v>0.14448669201520911</v>
      </c>
      <c r="K12" s="161">
        <f t="shared" si="12"/>
        <v>0.22997416020671835</v>
      </c>
      <c r="L12" s="161">
        <f t="shared" si="12"/>
        <v>0.16044776119402984</v>
      </c>
      <c r="M12" s="162">
        <f t="shared" si="12"/>
        <v>0.15695067264573992</v>
      </c>
      <c r="N12" s="163">
        <f t="shared" si="12"/>
        <v>0.16585365853658537</v>
      </c>
      <c r="O12" s="161">
        <f t="shared" si="12"/>
        <v>0.20588235294117646</v>
      </c>
      <c r="P12" s="161">
        <f t="shared" si="12"/>
        <v>0.12211221122112212</v>
      </c>
      <c r="Q12" s="164">
        <f t="shared" si="12"/>
        <v>9.5505617977528059E-2</v>
      </c>
      <c r="R12" s="165">
        <f t="shared" si="12"/>
        <v>8.5836909871244635E-2</v>
      </c>
      <c r="S12" s="161">
        <f t="shared" si="12"/>
        <v>0.13978494623655913</v>
      </c>
      <c r="T12" s="242">
        <f t="shared" ref="T12:AC12" si="13">AVERAGE(N12:S12)</f>
        <v>0.13582928279736931</v>
      </c>
      <c r="U12" s="243">
        <f t="shared" si="13"/>
        <v>0.13082522017416662</v>
      </c>
      <c r="V12" s="244">
        <f t="shared" si="13"/>
        <v>0.11831569804633164</v>
      </c>
      <c r="W12" s="245">
        <f t="shared" si="13"/>
        <v>0.11768294585053324</v>
      </c>
      <c r="X12" s="242">
        <f t="shared" si="13"/>
        <v>0.12137916716270077</v>
      </c>
      <c r="Y12" s="243">
        <f t="shared" si="13"/>
        <v>0.1273028767112768</v>
      </c>
      <c r="Z12" s="244">
        <f t="shared" si="13"/>
        <v>0.12522253179039641</v>
      </c>
      <c r="AA12" s="245">
        <f t="shared" si="13"/>
        <v>0.12345473995590091</v>
      </c>
      <c r="AB12" s="242">
        <f t="shared" si="13"/>
        <v>0.12222632658618997</v>
      </c>
      <c r="AC12" s="243">
        <f t="shared" si="13"/>
        <v>0.12287809800949968</v>
      </c>
    </row>
    <row r="13" spans="1:29" ht="13.8" thickBot="1" x14ac:dyDescent="0.3">
      <c r="A13" s="55" t="s">
        <v>182</v>
      </c>
      <c r="B13" s="156">
        <f t="shared" ref="B13:Y13" si="14">B11/(B8*0.92/1000)</f>
        <v>309.56838737159103</v>
      </c>
      <c r="C13" s="157">
        <f t="shared" si="14"/>
        <v>257.49636286387454</v>
      </c>
      <c r="D13" s="157">
        <f t="shared" si="14"/>
        <v>272.29075394492963</v>
      </c>
      <c r="E13" s="158">
        <f t="shared" si="14"/>
        <v>196.09928027206379</v>
      </c>
      <c r="F13" s="159">
        <f t="shared" si="14"/>
        <v>179.54192546583852</v>
      </c>
      <c r="G13" s="157">
        <f t="shared" si="14"/>
        <v>461.60584443095803</v>
      </c>
      <c r="H13" s="157">
        <f t="shared" si="14"/>
        <v>317.68280238589404</v>
      </c>
      <c r="I13" s="160">
        <f t="shared" si="14"/>
        <v>194.07899243320247</v>
      </c>
      <c r="J13" s="156">
        <f t="shared" si="14"/>
        <v>181.15942028985506</v>
      </c>
      <c r="K13" s="157">
        <f t="shared" si="14"/>
        <v>282.86295448766839</v>
      </c>
      <c r="L13" s="157">
        <f t="shared" si="14"/>
        <v>196.38290098648153</v>
      </c>
      <c r="M13" s="158">
        <f t="shared" si="14"/>
        <v>210.06890260005281</v>
      </c>
      <c r="N13" s="159">
        <f t="shared" si="14"/>
        <v>208.79390813068042</v>
      </c>
      <c r="O13" s="157">
        <f t="shared" si="14"/>
        <v>245.44179523141653</v>
      </c>
      <c r="P13" s="157">
        <f t="shared" si="14"/>
        <v>140.62024931590148</v>
      </c>
      <c r="Q13" s="160">
        <f t="shared" si="14"/>
        <v>112.67232237539768</v>
      </c>
      <c r="R13" s="156">
        <f t="shared" si="14"/>
        <v>102.06164523372118</v>
      </c>
      <c r="S13" s="157">
        <f t="shared" si="14"/>
        <v>156.13740091280326</v>
      </c>
      <c r="T13" s="246">
        <f t="shared" si="14"/>
        <v>155.99019574585805</v>
      </c>
      <c r="U13" s="247">
        <f t="shared" si="14"/>
        <v>148.72043882737125</v>
      </c>
      <c r="V13" s="248">
        <f t="shared" si="14"/>
        <v>136.80764917653661</v>
      </c>
      <c r="W13" s="249">
        <f t="shared" si="14"/>
        <v>136.7613913234984</v>
      </c>
      <c r="X13" s="246">
        <f t="shared" si="14"/>
        <v>142.28513194065962</v>
      </c>
      <c r="Y13" s="247">
        <f t="shared" si="14"/>
        <v>150.565902848306</v>
      </c>
      <c r="Z13" s="248">
        <f>Z11/(Z8*0.92/1000)</f>
        <v>148.96423689337385</v>
      </c>
      <c r="AA13" s="249">
        <f>AA11/(AA8*0.92/1000)</f>
        <v>147.70799050447633</v>
      </c>
      <c r="AB13" s="246">
        <f>AB11/(AB8*0.92/1000)</f>
        <v>147.07653654210543</v>
      </c>
      <c r="AC13" s="247">
        <f>AC11/(AC8*0.92/1000)</f>
        <v>148.70357863179856</v>
      </c>
    </row>
    <row r="14" spans="1:29" ht="13.8" thickBot="1" x14ac:dyDescent="0.3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8" thickBot="1" x14ac:dyDescent="0.3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8" hidden="1" outlineLevel="1" thickBot="1" x14ac:dyDescent="0.3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8" hidden="1" outlineLevel="1" thickBot="1" x14ac:dyDescent="0.3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8" hidden="1" outlineLevel="1" thickBot="1" x14ac:dyDescent="0.3">
      <c r="A18" s="63" t="s">
        <v>195</v>
      </c>
      <c r="B18" s="79">
        <f t="shared" ref="B18:S18" si="15">SUM(B16:B17)</f>
        <v>4.4595999999999997E-2</v>
      </c>
      <c r="C18" s="51">
        <f t="shared" si="15"/>
        <v>0</v>
      </c>
      <c r="D18" s="51">
        <f t="shared" si="15"/>
        <v>0</v>
      </c>
      <c r="E18" s="80">
        <f t="shared" si="15"/>
        <v>0</v>
      </c>
      <c r="F18" s="72">
        <f t="shared" si="15"/>
        <v>3.1097E-2</v>
      </c>
      <c r="G18" s="51">
        <f t="shared" si="15"/>
        <v>0</v>
      </c>
      <c r="H18" s="51">
        <f t="shared" si="15"/>
        <v>0</v>
      </c>
      <c r="I18" s="83">
        <f t="shared" si="15"/>
        <v>0</v>
      </c>
      <c r="J18" s="79">
        <f t="shared" si="15"/>
        <v>0</v>
      </c>
      <c r="K18" s="51">
        <f t="shared" si="15"/>
        <v>0</v>
      </c>
      <c r="L18" s="51">
        <f t="shared" si="15"/>
        <v>0</v>
      </c>
      <c r="M18" s="80">
        <f t="shared" si="15"/>
        <v>0</v>
      </c>
      <c r="N18" s="72">
        <f t="shared" si="15"/>
        <v>0</v>
      </c>
      <c r="O18" s="51">
        <f t="shared" si="15"/>
        <v>0</v>
      </c>
      <c r="P18" s="51">
        <f t="shared" si="15"/>
        <v>0</v>
      </c>
      <c r="Q18" s="83">
        <f t="shared" si="15"/>
        <v>0</v>
      </c>
      <c r="R18" s="79">
        <f t="shared" si="15"/>
        <v>0</v>
      </c>
      <c r="S18" s="51">
        <f t="shared" si="15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8" collapsed="1" thickBot="1" x14ac:dyDescent="0.3">
      <c r="A19" s="64" t="s">
        <v>189</v>
      </c>
      <c r="B19" s="105">
        <f t="shared" ref="B19:Y19" si="16">(B2+B8*0.92/1000)/0.44</f>
        <v>0.50732109090909094</v>
      </c>
      <c r="C19" s="106">
        <f t="shared" si="16"/>
        <v>0.94033727272727274</v>
      </c>
      <c r="D19" s="106">
        <f t="shared" si="16"/>
        <v>0.44381081818181817</v>
      </c>
      <c r="E19" s="107">
        <f t="shared" si="16"/>
        <v>0.69908536363636353</v>
      </c>
      <c r="F19" s="108">
        <f t="shared" si="16"/>
        <v>0.26433636363636365</v>
      </c>
      <c r="G19" s="106">
        <f t="shared" si="16"/>
        <v>0.65839300000000001</v>
      </c>
      <c r="H19" s="106">
        <f t="shared" si="16"/>
        <v>0.64834645454545448</v>
      </c>
      <c r="I19" s="109">
        <f t="shared" si="16"/>
        <v>0.71789690909090909</v>
      </c>
      <c r="J19" s="105">
        <f t="shared" si="16"/>
        <v>0.50812727272727276</v>
      </c>
      <c r="K19" s="106">
        <f t="shared" si="16"/>
        <v>0.70355454545454543</v>
      </c>
      <c r="L19" s="106">
        <f t="shared" si="16"/>
        <v>0.61612727272727275</v>
      </c>
      <c r="M19" s="107">
        <f t="shared" si="16"/>
        <v>0.72036636363636364</v>
      </c>
      <c r="N19" s="108">
        <f t="shared" si="16"/>
        <v>0.39655454545454544</v>
      </c>
      <c r="O19" s="106">
        <f t="shared" si="16"/>
        <v>0.73981818181818171</v>
      </c>
      <c r="P19" s="106">
        <f t="shared" si="16"/>
        <v>0.78684545454545463</v>
      </c>
      <c r="Q19" s="109">
        <f t="shared" si="16"/>
        <v>0.50883636363636353</v>
      </c>
      <c r="R19" s="105">
        <f t="shared" si="16"/>
        <v>0.4247636363636364</v>
      </c>
      <c r="S19" s="106">
        <f t="shared" si="16"/>
        <v>0.8509181818181818</v>
      </c>
      <c r="T19" s="254">
        <f t="shared" si="16"/>
        <v>0.6363260394239576</v>
      </c>
      <c r="U19" s="255">
        <f t="shared" si="16"/>
        <v>0.70706459951876743</v>
      </c>
      <c r="V19" s="256">
        <f t="shared" si="16"/>
        <v>0.53883181818181825</v>
      </c>
      <c r="W19" s="257">
        <f t="shared" si="16"/>
        <v>1.0834863636363636</v>
      </c>
      <c r="X19" s="254">
        <f t="shared" si="16"/>
        <v>0.81087783630593735</v>
      </c>
      <c r="Y19" s="255">
        <f t="shared" si="16"/>
        <v>0.90541891415738085</v>
      </c>
      <c r="Z19" s="256">
        <f>(Z2+Z8*0.92/1000)/0.44</f>
        <v>0.53883181818181825</v>
      </c>
      <c r="AA19" s="257">
        <f>(AA2+AA8*0.92/1000)/0.44</f>
        <v>1.0834863636363636</v>
      </c>
      <c r="AB19" s="254">
        <f>(AB2+AB8*0.92/1000)/0.44</f>
        <v>0.81087783630593735</v>
      </c>
      <c r="AC19" s="255">
        <f>(AC2+AC8*0.92/1000)/0.44</f>
        <v>0.90541891415738085</v>
      </c>
    </row>
    <row r="20" spans="1:29" ht="3.6" customHeight="1" thickBot="1" x14ac:dyDescent="0.3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 x14ac:dyDescent="0.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7">V27</f>
        <v>0.91972100000000001</v>
      </c>
      <c r="W21" s="208">
        <f t="shared" si="17"/>
        <v>1.2452169999999998</v>
      </c>
      <c r="X21" s="208">
        <f t="shared" si="17"/>
        <v>0.97686859248248969</v>
      </c>
      <c r="Y21" s="209">
        <f t="shared" si="17"/>
        <v>0.74446840314189744</v>
      </c>
      <c r="Z21" s="344">
        <f t="shared" si="17"/>
        <v>1.839442</v>
      </c>
      <c r="AA21" s="208">
        <f t="shared" si="17"/>
        <v>2.4904339999999996</v>
      </c>
      <c r="AB21" s="208">
        <f t="shared" si="17"/>
        <v>1.9537371849649794</v>
      </c>
      <c r="AC21" s="209">
        <f t="shared" si="17"/>
        <v>1.4889368062837949</v>
      </c>
    </row>
    <row r="22" spans="1:29" x14ac:dyDescent="0.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8">T21*T23</f>
        <v>171.06896475576775</v>
      </c>
      <c r="U22" s="213">
        <f t="shared" si="18"/>
        <v>132.2875255593336</v>
      </c>
      <c r="V22" s="345">
        <f t="shared" si="18"/>
        <v>170.40619226731295</v>
      </c>
      <c r="W22" s="212">
        <f t="shared" si="18"/>
        <v>241.10553382631178</v>
      </c>
      <c r="X22" s="212">
        <f t="shared" si="18"/>
        <v>194.92270331025188</v>
      </c>
      <c r="Y22" s="213">
        <f t="shared" si="18"/>
        <v>152.17759597649271</v>
      </c>
      <c r="Z22" s="345">
        <f t="shared" si="18"/>
        <v>384.96554050159602</v>
      </c>
      <c r="AA22" s="212">
        <f t="shared" si="18"/>
        <v>533.34300871529854</v>
      </c>
      <c r="AB22" s="212">
        <f t="shared" si="18"/>
        <v>427.92595165892004</v>
      </c>
      <c r="AC22" s="213">
        <f t="shared" si="18"/>
        <v>333.37625248629462</v>
      </c>
    </row>
    <row r="23" spans="1:29" x14ac:dyDescent="0.25">
      <c r="A23" s="54" t="s">
        <v>179</v>
      </c>
      <c r="B23" s="151">
        <f t="shared" ref="B23:R23" si="19">B22/B21</f>
        <v>303.03684527653093</v>
      </c>
      <c r="C23" s="152">
        <f t="shared" si="19"/>
        <v>312.04168876961961</v>
      </c>
      <c r="D23" s="152">
        <f t="shared" si="19"/>
        <v>365.89189974684314</v>
      </c>
      <c r="E23" s="153">
        <f t="shared" si="19"/>
        <v>310.46448712879527</v>
      </c>
      <c r="F23" s="154">
        <f t="shared" si="19"/>
        <v>258.84451357012142</v>
      </c>
      <c r="G23" s="152">
        <f t="shared" si="19"/>
        <v>246.09347208232077</v>
      </c>
      <c r="H23" s="152">
        <f t="shared" si="19"/>
        <v>235.34958377071993</v>
      </c>
      <c r="I23" s="155">
        <f t="shared" si="19"/>
        <v>263.07740228252948</v>
      </c>
      <c r="J23" s="151">
        <f t="shared" si="19"/>
        <v>235.07248750921448</v>
      </c>
      <c r="K23" s="152">
        <f t="shared" si="19"/>
        <v>222.80826799714899</v>
      </c>
      <c r="L23" s="152">
        <f t="shared" si="19"/>
        <v>224.67522715326271</v>
      </c>
      <c r="M23" s="153">
        <f t="shared" si="19"/>
        <v>196.01623953311338</v>
      </c>
      <c r="N23" s="154">
        <f t="shared" si="19"/>
        <v>190.10135863704983</v>
      </c>
      <c r="O23" s="152">
        <f t="shared" si="19"/>
        <v>195.4040365862877</v>
      </c>
      <c r="P23" s="152">
        <f t="shared" si="19"/>
        <v>180.43677998445119</v>
      </c>
      <c r="Q23" s="155">
        <f t="shared" si="19"/>
        <v>176.81042590353357</v>
      </c>
      <c r="R23" s="151">
        <f t="shared" si="19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 x14ac:dyDescent="0.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20">T22*T25</f>
        <v>7.7783212331435179</v>
      </c>
      <c r="U24" s="213">
        <f t="shared" si="20"/>
        <v>5.7168514797620302</v>
      </c>
      <c r="V24" s="345">
        <f t="shared" si="20"/>
        <v>7.3609951493411323</v>
      </c>
      <c r="W24" s="212">
        <f t="shared" si="20"/>
        <v>8.7981841555624527</v>
      </c>
      <c r="X24" s="212">
        <f t="shared" si="20"/>
        <v>7.4590809454801237</v>
      </c>
      <c r="Y24" s="213">
        <f t="shared" si="20"/>
        <v>6.247797362955537</v>
      </c>
      <c r="Z24" s="345">
        <f t="shared" si="20"/>
        <v>15.892331127018451</v>
      </c>
      <c r="AA24" s="212">
        <f t="shared" si="20"/>
        <v>21.64558547925094</v>
      </c>
      <c r="AB24" s="212">
        <f t="shared" si="20"/>
        <v>17.179644159633149</v>
      </c>
      <c r="AC24" s="213">
        <f t="shared" si="20"/>
        <v>13.214331781672239</v>
      </c>
    </row>
    <row r="25" spans="1:29" x14ac:dyDescent="0.25">
      <c r="A25" s="54" t="s">
        <v>180</v>
      </c>
      <c r="B25" s="165">
        <f t="shared" ref="B25:S25" si="21">B24/B22</f>
        <v>3.7564766839378233E-2</v>
      </c>
      <c r="C25" s="161">
        <f t="shared" si="21"/>
        <v>2.2058823529411766E-2</v>
      </c>
      <c r="D25" s="161">
        <f t="shared" si="21"/>
        <v>2.0066889632107024E-2</v>
      </c>
      <c r="E25" s="162">
        <f t="shared" si="21"/>
        <v>-2.3460410557184751E-2</v>
      </c>
      <c r="F25" s="163">
        <f t="shared" si="21"/>
        <v>4.1048034934497817E-2</v>
      </c>
      <c r="G25" s="161">
        <f t="shared" si="21"/>
        <v>1.1564211807668897E-2</v>
      </c>
      <c r="H25" s="161">
        <f t="shared" si="21"/>
        <v>0.10632090761750404</v>
      </c>
      <c r="I25" s="164">
        <f t="shared" si="21"/>
        <v>7.1466666666666706E-2</v>
      </c>
      <c r="J25" s="165">
        <f t="shared" si="21"/>
        <v>6.1672473867595813E-2</v>
      </c>
      <c r="K25" s="161">
        <f t="shared" si="21"/>
        <v>4.8624440179142671E-2</v>
      </c>
      <c r="L25" s="161">
        <f t="shared" si="21"/>
        <v>7.5200534759358298E-2</v>
      </c>
      <c r="M25" s="162">
        <f t="shared" si="21"/>
        <v>2.5889967637540454E-2</v>
      </c>
      <c r="N25" s="163">
        <f t="shared" si="21"/>
        <v>5.8990357345433918E-2</v>
      </c>
      <c r="O25" s="161">
        <f t="shared" si="21"/>
        <v>4.3326885880077368E-2</v>
      </c>
      <c r="P25" s="161">
        <f t="shared" si="21"/>
        <v>8.3431257344300819E-2</v>
      </c>
      <c r="Q25" s="164">
        <f t="shared" si="21"/>
        <v>2.5835866261398107E-2</v>
      </c>
      <c r="R25" s="165">
        <f t="shared" si="21"/>
        <v>2.1532298447671509E-2</v>
      </c>
      <c r="S25" s="161">
        <f t="shared" si="21"/>
        <v>3.9696860339227709E-2</v>
      </c>
      <c r="T25" s="242">
        <f t="shared" ref="T25:AC25" si="22">AVERAGE(N25:S25)</f>
        <v>4.5468920936351576E-2</v>
      </c>
      <c r="U25" s="243">
        <f t="shared" si="22"/>
        <v>4.3215348201504515E-2</v>
      </c>
      <c r="V25" s="244">
        <f t="shared" si="22"/>
        <v>4.3196758588409039E-2</v>
      </c>
      <c r="W25" s="245">
        <f t="shared" si="22"/>
        <v>3.6491008795760414E-2</v>
      </c>
      <c r="X25" s="242">
        <f t="shared" si="22"/>
        <v>3.8266865884820797E-2</v>
      </c>
      <c r="Y25" s="243">
        <f t="shared" si="22"/>
        <v>4.1055960457679008E-2</v>
      </c>
      <c r="Z25" s="244">
        <f t="shared" si="22"/>
        <v>4.1282477144087559E-2</v>
      </c>
      <c r="AA25" s="245">
        <f t="shared" si="22"/>
        <v>4.0584736512043557E-2</v>
      </c>
      <c r="AB25" s="242">
        <f t="shared" si="22"/>
        <v>4.0146301230466731E-2</v>
      </c>
      <c r="AC25" s="243">
        <f t="shared" si="22"/>
        <v>3.9637891670809673E-2</v>
      </c>
    </row>
    <row r="26" spans="1:29" ht="13.8" thickBot="1" x14ac:dyDescent="0.3">
      <c r="A26" s="55" t="s">
        <v>182</v>
      </c>
      <c r="B26" s="156">
        <f t="shared" ref="B26:R26" si="23">B24/B21</f>
        <v>11.383508436553623</v>
      </c>
      <c r="C26" s="157">
        <f t="shared" si="23"/>
        <v>6.8832725463886675</v>
      </c>
      <c r="D26" s="157">
        <f t="shared" si="23"/>
        <v>7.3423123695018697</v>
      </c>
      <c r="E26" s="158">
        <f t="shared" si="23"/>
        <v>-7.2836243314673386</v>
      </c>
      <c r="F26" s="159">
        <f t="shared" si="23"/>
        <v>10.62505863562944</v>
      </c>
      <c r="G26" s="157">
        <f t="shared" si="23"/>
        <v>2.8458770356446097</v>
      </c>
      <c r="H26" s="157">
        <f t="shared" si="23"/>
        <v>25.022581353904741</v>
      </c>
      <c r="I26" s="160">
        <f t="shared" si="23"/>
        <v>18.801265016458114</v>
      </c>
      <c r="J26" s="156">
        <f t="shared" si="23"/>
        <v>14.497501842902775</v>
      </c>
      <c r="K26" s="157">
        <f t="shared" si="23"/>
        <v>10.833927298645758</v>
      </c>
      <c r="L26" s="157">
        <f t="shared" si="23"/>
        <v>16.895697229105654</v>
      </c>
      <c r="M26" s="158">
        <f t="shared" si="23"/>
        <v>5.0748540979446828</v>
      </c>
      <c r="N26" s="159">
        <f t="shared" si="23"/>
        <v>11.21414707785206</v>
      </c>
      <c r="O26" s="157">
        <f t="shared" si="23"/>
        <v>8.4662483936805497</v>
      </c>
      <c r="P26" s="157">
        <f t="shared" si="23"/>
        <v>15.054067425259735</v>
      </c>
      <c r="Q26" s="160">
        <f t="shared" si="23"/>
        <v>4.5680505172645329</v>
      </c>
      <c r="R26" s="156">
        <f t="shared" si="23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 x14ac:dyDescent="0.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 t="shared" ref="V27:Y27" si="24">R27</f>
        <v>0.91972100000000001</v>
      </c>
      <c r="W27" s="214">
        <f t="shared" si="24"/>
        <v>1.2452169999999998</v>
      </c>
      <c r="X27" s="214">
        <f t="shared" si="24"/>
        <v>0.97686859248248969</v>
      </c>
      <c r="Y27" s="215">
        <f t="shared" si="24"/>
        <v>0.74446840314189744</v>
      </c>
      <c r="Z27" s="347">
        <f>V27*2</f>
        <v>1.839442</v>
      </c>
      <c r="AA27" s="214">
        <f>W27*2</f>
        <v>2.4904339999999996</v>
      </c>
      <c r="AB27" s="214">
        <f>X27*2</f>
        <v>1.9537371849649794</v>
      </c>
      <c r="AC27" s="215">
        <f>Y27*2</f>
        <v>1.4889368062837949</v>
      </c>
    </row>
    <row r="28" spans="1:29" x14ac:dyDescent="0.25">
      <c r="A28" s="54" t="s">
        <v>183</v>
      </c>
      <c r="B28" s="165">
        <f t="shared" ref="B28:R28" si="25">B27/B$21</f>
        <v>1.4526259595021873</v>
      </c>
      <c r="C28" s="161">
        <f t="shared" si="25"/>
        <v>0.94412480566227175</v>
      </c>
      <c r="D28" s="161">
        <f t="shared" si="25"/>
        <v>0.89549247378217389</v>
      </c>
      <c r="E28" s="162">
        <f t="shared" si="25"/>
        <v>0.72333123416757594</v>
      </c>
      <c r="F28" s="163">
        <f t="shared" si="25"/>
        <v>0.4735961641277675</v>
      </c>
      <c r="G28" s="161">
        <f t="shared" si="25"/>
        <v>0.65809408619262844</v>
      </c>
      <c r="H28" s="161">
        <f t="shared" si="25"/>
        <v>0.62356043868857269</v>
      </c>
      <c r="I28" s="164">
        <f t="shared" si="25"/>
        <v>0.93527734672058227</v>
      </c>
      <c r="J28" s="165">
        <f t="shared" si="25"/>
        <v>0.54840691293308197</v>
      </c>
      <c r="K28" s="161">
        <f t="shared" si="25"/>
        <v>0.73691874554526016</v>
      </c>
      <c r="L28" s="161">
        <f t="shared" si="25"/>
        <v>0.81430352181422239</v>
      </c>
      <c r="M28" s="162">
        <f t="shared" si="25"/>
        <v>1.0911507231667086</v>
      </c>
      <c r="N28" s="163">
        <f t="shared" si="25"/>
        <v>0.6413899072676299</v>
      </c>
      <c r="O28" s="161">
        <f t="shared" si="25"/>
        <v>0.85980195026079076</v>
      </c>
      <c r="P28" s="161">
        <f t="shared" si="25"/>
        <v>0.84832709025372821</v>
      </c>
      <c r="Q28" s="164">
        <f t="shared" si="25"/>
        <v>1.0628039768910391</v>
      </c>
      <c r="R28" s="165">
        <f t="shared" si="25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 x14ac:dyDescent="0.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6">T27*T30</f>
        <v>12.699291702272365</v>
      </c>
      <c r="U29" s="219">
        <f t="shared" si="26"/>
        <v>9.6780892408446668</v>
      </c>
      <c r="V29" s="348">
        <f t="shared" si="26"/>
        <v>11.956372999999999</v>
      </c>
      <c r="W29" s="218">
        <f t="shared" si="26"/>
        <v>16.187820999999996</v>
      </c>
      <c r="X29" s="218">
        <f t="shared" si="26"/>
        <v>12.699291702272365</v>
      </c>
      <c r="Y29" s="219">
        <f t="shared" si="26"/>
        <v>9.6780892408446668</v>
      </c>
      <c r="Z29" s="348">
        <f>Z27*Z30</f>
        <v>22.073304</v>
      </c>
      <c r="AA29" s="218">
        <f>AA27*AA30</f>
        <v>29.885207999999995</v>
      </c>
      <c r="AB29" s="218">
        <f>AB27*AB30</f>
        <v>23.444846219579752</v>
      </c>
      <c r="AC29" s="219">
        <f>AC27*AC30</f>
        <v>17.867241675405538</v>
      </c>
    </row>
    <row r="30" spans="1:29" x14ac:dyDescent="0.25">
      <c r="A30" s="54" t="s">
        <v>179</v>
      </c>
      <c r="B30" s="151">
        <f>B29/B27</f>
        <v>18.915698137884633</v>
      </c>
      <c r="C30" s="152">
        <f t="shared" ref="C30:S30" si="27">C29/C27</f>
        <v>15.456153371701532</v>
      </c>
      <c r="D30" s="152">
        <f t="shared" si="27"/>
        <v>15.373480063624466</v>
      </c>
      <c r="E30" s="153">
        <f t="shared" si="27"/>
        <v>18.340976905489789</v>
      </c>
      <c r="F30" s="154">
        <f t="shared" si="27"/>
        <v>17.18413999346048</v>
      </c>
      <c r="G30" s="152">
        <f t="shared" si="27"/>
        <v>16.614887394307697</v>
      </c>
      <c r="H30" s="152">
        <f t="shared" si="27"/>
        <v>16.149297811403112</v>
      </c>
      <c r="I30" s="155">
        <f t="shared" si="27"/>
        <v>15.751835088787841</v>
      </c>
      <c r="J30" s="151">
        <f t="shared" si="27"/>
        <v>15.980882682398628</v>
      </c>
      <c r="K30" s="152">
        <f t="shared" si="27"/>
        <v>15.088543636358359</v>
      </c>
      <c r="L30" s="152">
        <f t="shared" si="27"/>
        <v>15.400107708537744</v>
      </c>
      <c r="M30" s="153">
        <f t="shared" si="27"/>
        <v>14.301577243051232</v>
      </c>
      <c r="N30" s="154">
        <f t="shared" si="27"/>
        <v>15.466733913335856</v>
      </c>
      <c r="O30" s="152">
        <f t="shared" si="27"/>
        <v>15.297617791656995</v>
      </c>
      <c r="P30" s="152">
        <f t="shared" si="27"/>
        <v>15.079588568838739</v>
      </c>
      <c r="Q30" s="155">
        <f t="shared" si="27"/>
        <v>15.928297378783745</v>
      </c>
      <c r="R30" s="151">
        <f t="shared" si="27"/>
        <v>13.482349538610078</v>
      </c>
      <c r="S30" s="152">
        <f t="shared" si="27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240">
        <v>12</v>
      </c>
      <c r="AA30" s="241">
        <v>12</v>
      </c>
      <c r="AB30" s="238">
        <v>12</v>
      </c>
      <c r="AC30" s="239">
        <v>12</v>
      </c>
    </row>
    <row r="31" spans="1:29" x14ac:dyDescent="0.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8">T27*T33</f>
        <v>9.7686859248248972</v>
      </c>
      <c r="U31" s="218">
        <f t="shared" si="28"/>
        <v>7.4446840314189746</v>
      </c>
      <c r="V31" s="218">
        <f t="shared" si="28"/>
        <v>9.1972100000000001</v>
      </c>
      <c r="W31" s="218">
        <f t="shared" si="28"/>
        <v>12.452169999999999</v>
      </c>
      <c r="X31" s="218">
        <f t="shared" si="28"/>
        <v>9.7686859248248972</v>
      </c>
      <c r="Y31" s="218">
        <f t="shared" si="28"/>
        <v>7.4446840314189746</v>
      </c>
      <c r="Z31" s="218">
        <f>Z27*Z33</f>
        <v>16.554977999999998</v>
      </c>
      <c r="AA31" s="218">
        <f>AA27*AA33</f>
        <v>22.413905999999997</v>
      </c>
      <c r="AB31" s="218">
        <f>AB27*AB33</f>
        <v>17.583634664684816</v>
      </c>
      <c r="AC31" s="218">
        <f>AC27*AC33</f>
        <v>13.400431256554153</v>
      </c>
    </row>
    <row r="32" spans="1:29" x14ac:dyDescent="0.25">
      <c r="A32" s="54" t="s">
        <v>180</v>
      </c>
      <c r="B32" s="165">
        <f t="shared" ref="B32:Y32" si="29">B31/B29</f>
        <v>0.5714285714285714</v>
      </c>
      <c r="C32" s="161">
        <f t="shared" si="29"/>
        <v>0.64779874213836486</v>
      </c>
      <c r="D32" s="161">
        <f t="shared" si="29"/>
        <v>0.55555555555555558</v>
      </c>
      <c r="E32" s="162">
        <f t="shared" si="29"/>
        <v>0.37254901960784309</v>
      </c>
      <c r="F32" s="163">
        <f t="shared" si="29"/>
        <v>0.51388888888888895</v>
      </c>
      <c r="G32" s="161">
        <f t="shared" si="29"/>
        <v>0.64383561643835618</v>
      </c>
      <c r="H32" s="161">
        <f t="shared" si="29"/>
        <v>0.62121212121212122</v>
      </c>
      <c r="I32" s="164">
        <f t="shared" si="29"/>
        <v>0.5714285714285714</v>
      </c>
      <c r="J32" s="165">
        <f t="shared" si="29"/>
        <v>0.63551401869158886</v>
      </c>
      <c r="K32" s="161">
        <f t="shared" si="29"/>
        <v>0.67948717948717952</v>
      </c>
      <c r="L32" s="161">
        <f t="shared" si="29"/>
        <v>0.6706586826347305</v>
      </c>
      <c r="M32" s="162">
        <f t="shared" si="29"/>
        <v>0.66666666666666674</v>
      </c>
      <c r="N32" s="163">
        <f t="shared" si="29"/>
        <v>0.59782608695652184</v>
      </c>
      <c r="O32" s="161">
        <f t="shared" si="29"/>
        <v>0.66666666666666674</v>
      </c>
      <c r="P32" s="161">
        <f t="shared" si="29"/>
        <v>0.66298342541436461</v>
      </c>
      <c r="Q32" s="164">
        <f t="shared" si="29"/>
        <v>0.66666666666666685</v>
      </c>
      <c r="R32" s="165">
        <f t="shared" si="29"/>
        <v>0.84677419354838712</v>
      </c>
      <c r="S32" s="161">
        <f t="shared" si="29"/>
        <v>0.82317073170731714</v>
      </c>
      <c r="T32" s="242">
        <f t="shared" si="29"/>
        <v>0.76923076923076927</v>
      </c>
      <c r="U32" s="243">
        <f t="shared" si="29"/>
        <v>0.76923076923076927</v>
      </c>
      <c r="V32" s="244">
        <f t="shared" si="29"/>
        <v>0.76923076923076927</v>
      </c>
      <c r="W32" s="245">
        <f t="shared" si="29"/>
        <v>0.76923076923076938</v>
      </c>
      <c r="X32" s="242">
        <f t="shared" si="29"/>
        <v>0.76923076923076927</v>
      </c>
      <c r="Y32" s="243">
        <f t="shared" si="29"/>
        <v>0.76923076923076927</v>
      </c>
      <c r="Z32" s="244">
        <f>Z31/Z29</f>
        <v>0.74999999999999989</v>
      </c>
      <c r="AA32" s="245">
        <f>AA31/AA29</f>
        <v>0.75</v>
      </c>
      <c r="AB32" s="242">
        <f>AB31/AB29</f>
        <v>0.75000000000000011</v>
      </c>
      <c r="AC32" s="243">
        <f>AC31/AC29</f>
        <v>0.75</v>
      </c>
    </row>
    <row r="33" spans="1:29" ht="13.8" thickBot="1" x14ac:dyDescent="0.3">
      <c r="A33" s="55" t="s">
        <v>182</v>
      </c>
      <c r="B33" s="156">
        <f>B31/B27</f>
        <v>10.808970364505504</v>
      </c>
      <c r="C33" s="157">
        <f t="shared" ref="C33:S33" si="30">C31/C27</f>
        <v>10.012476712485899</v>
      </c>
      <c r="D33" s="157">
        <f t="shared" si="30"/>
        <v>8.5408222575691486</v>
      </c>
      <c r="E33" s="158">
        <f t="shared" si="30"/>
        <v>6.8329129647903137</v>
      </c>
      <c r="F33" s="159">
        <f t="shared" si="30"/>
        <v>8.8307386077505257</v>
      </c>
      <c r="G33" s="157">
        <f t="shared" si="30"/>
        <v>10.697256267567969</v>
      </c>
      <c r="H33" s="157">
        <f t="shared" si="30"/>
        <v>10.032139549507994</v>
      </c>
      <c r="I33" s="160">
        <f t="shared" si="30"/>
        <v>9.0010486221644808</v>
      </c>
      <c r="J33" s="156">
        <f t="shared" si="30"/>
        <v>10.15607497572997</v>
      </c>
      <c r="K33" s="157">
        <f t="shared" si="30"/>
        <v>10.252471958038372</v>
      </c>
      <c r="L33" s="157">
        <f t="shared" si="30"/>
        <v>10.328215948240883</v>
      </c>
      <c r="M33" s="158">
        <f t="shared" si="30"/>
        <v>9.5343848287008228</v>
      </c>
      <c r="N33" s="159">
        <f t="shared" si="30"/>
        <v>9.2464170134073065</v>
      </c>
      <c r="O33" s="157">
        <f t="shared" si="30"/>
        <v>10.198411861104663</v>
      </c>
      <c r="P33" s="157">
        <f t="shared" si="30"/>
        <v>9.997517283208003</v>
      </c>
      <c r="Q33" s="160">
        <f t="shared" si="30"/>
        <v>10.618864919189166</v>
      </c>
      <c r="R33" s="156">
        <f t="shared" si="30"/>
        <v>11.416505657694017</v>
      </c>
      <c r="S33" s="157">
        <f t="shared" si="30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248">
        <v>9</v>
      </c>
      <c r="AA33" s="249">
        <v>9</v>
      </c>
      <c r="AB33" s="246">
        <v>9</v>
      </c>
      <c r="AC33" s="247">
        <v>9</v>
      </c>
    </row>
    <row r="34" spans="1:29" x14ac:dyDescent="0.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 t="shared" ref="V34:Y34" si="31">R34</f>
        <v>0.72090983606557379</v>
      </c>
      <c r="W34" s="222">
        <f t="shared" si="31"/>
        <v>2.2107901639344263</v>
      </c>
      <c r="X34" s="222">
        <f t="shared" si="31"/>
        <v>9.9833076895268144E-2</v>
      </c>
      <c r="Y34" s="223">
        <f t="shared" si="31"/>
        <v>2.5763374682649845E-2</v>
      </c>
      <c r="Z34" s="349">
        <f>(Z27+Z19)*Z36</f>
        <v>1.1754946183723149</v>
      </c>
      <c r="AA34" s="222">
        <f>(AA27+AA19)*AA36</f>
        <v>3.392955972835543</v>
      </c>
      <c r="AB34" s="222">
        <f>(AB27+AB19)*AB36</f>
        <v>0.15438432406289335</v>
      </c>
      <c r="AC34" s="223">
        <f>(AC27+AC19)*AC36</f>
        <v>3.7388422168277369E-2</v>
      </c>
    </row>
    <row r="35" spans="1:29" ht="26.4" x14ac:dyDescent="0.2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 x14ac:dyDescent="0.25">
      <c r="A36" s="54" t="s">
        <v>186</v>
      </c>
      <c r="B36" s="165">
        <f>B34/(B$27+EBITDA_good!B$19)</f>
        <v>0.38187690183857892</v>
      </c>
      <c r="C36" s="161">
        <f>C34/(C$27+EBITDA_good!C$19)</f>
        <v>0.58271073426647835</v>
      </c>
      <c r="D36" s="161">
        <f>D34/(D$27+EBITDA_good!D$19)</f>
        <v>7.905643996012994E-2</v>
      </c>
      <c r="E36" s="162">
        <f>E34/(E$27+EBITDA_good!E$19)</f>
        <v>2.5073256284212624E-2</v>
      </c>
      <c r="F36" s="163">
        <f>F34/(F$27+EBITDA_good!F$19)</f>
        <v>0.5800876317270629</v>
      </c>
      <c r="G36" s="161">
        <f>G34/(G$27+EBITDA_good!G$19)</f>
        <v>1.3341142365874108</v>
      </c>
      <c r="H36" s="161">
        <f>H34/(H$27+EBITDA_good!H$19)</f>
        <v>8.759796106691016E-2</v>
      </c>
      <c r="I36" s="164">
        <f>I34/(I$27+EBITDA_good!I$19)</f>
        <v>6.3712922087494645E-3</v>
      </c>
      <c r="J36" s="165">
        <f>J34/(J$27+EBITDA_good!J$19)</f>
        <v>0.56768635612697049</v>
      </c>
      <c r="K36" s="161">
        <f>K34/(K$27+EBITDA_good!K$19)</f>
        <v>1.0414383555534064</v>
      </c>
      <c r="L36" s="161">
        <f>L34/(L$27+EBITDA_good!L$19)</f>
        <v>1.5337481162042397E-2</v>
      </c>
      <c r="M36" s="162">
        <f>M34/(M$27+EBITDA_good!M$19)</f>
        <v>1.2033621579003267E-2</v>
      </c>
      <c r="N36" s="163">
        <f>N34/(N$27+EBITDA_good!N$19)</f>
        <v>0.73974714898060934</v>
      </c>
      <c r="O36" s="161">
        <f>O34/(O$27+EBITDA_good!O$19)</f>
        <v>1.0432971729934279</v>
      </c>
      <c r="P36" s="161">
        <f>P34/(P$27+EBITDA_good!P$19)</f>
        <v>4.8732551848262237E-2</v>
      </c>
      <c r="Q36" s="164">
        <f>Q34/(Q$27+EBITDA_good!Q$19)</f>
        <v>2.3895587274622921E-2</v>
      </c>
      <c r="R36" s="165">
        <f>R34/(R$27+EBITDA_good!R$19)</f>
        <v>0.5361978981146146</v>
      </c>
      <c r="S36" s="161">
        <f>S34/(S$27+EBITDA_good!S$19)</f>
        <v>1.0546982766716377</v>
      </c>
      <c r="T36" s="242">
        <f>T34/(T$27+EBITDA_good!T$19)</f>
        <v>6.1885326742804142E-2</v>
      </c>
      <c r="U36" s="243">
        <f>U34/(U$27+EBITDA_good!U$19)</f>
        <v>1.7749079514847745E-2</v>
      </c>
      <c r="V36" s="244">
        <f>V34/(V$27+EBITDA_good!V$19)</f>
        <v>0.49426378467681076</v>
      </c>
      <c r="W36" s="245">
        <f>W34/(W$27+EBITDA_good!W$19)</f>
        <v>0.9493652984990707</v>
      </c>
      <c r="X36" s="242">
        <f>X34/(X$27+EBITDA_good!X$19)</f>
        <v>5.5842973750436176E-2</v>
      </c>
      <c r="Y36" s="243">
        <f>Y34/(Y$27+EBITDA_good!Y$19)</f>
        <v>1.5615232878341196E-2</v>
      </c>
      <c r="Z36" s="366">
        <f>V36</f>
        <v>0.49426378467681076</v>
      </c>
      <c r="AA36" s="367">
        <f>W36</f>
        <v>0.9493652984990707</v>
      </c>
      <c r="AB36" s="368">
        <f>X36</f>
        <v>5.5842973750436176E-2</v>
      </c>
      <c r="AC36" s="369">
        <f>Y36</f>
        <v>1.5615232878341196E-2</v>
      </c>
    </row>
    <row r="37" spans="1:29" x14ac:dyDescent="0.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32">T34*T38</f>
        <v>5.4638900568168713</v>
      </c>
      <c r="U37" s="227">
        <f t="shared" si="32"/>
        <v>1.4100361436946764</v>
      </c>
      <c r="V37" s="350">
        <f t="shared" si="32"/>
        <v>10.5</v>
      </c>
      <c r="W37" s="226">
        <f t="shared" si="32"/>
        <v>32.200000000000003</v>
      </c>
      <c r="X37" s="226">
        <f t="shared" si="32"/>
        <v>5.4638900568168713</v>
      </c>
      <c r="Y37" s="227">
        <f t="shared" si="32"/>
        <v>1.4100361436946764</v>
      </c>
      <c r="Z37" s="350">
        <f t="shared" si="32"/>
        <v>17.120994714499385</v>
      </c>
      <c r="AA37" s="226">
        <f t="shared" si="32"/>
        <v>49.418160125550941</v>
      </c>
      <c r="AB37" s="226">
        <f t="shared" si="32"/>
        <v>8.4494938892904994</v>
      </c>
      <c r="AC37" s="227">
        <f t="shared" si="32"/>
        <v>2.0462779920089278</v>
      </c>
    </row>
    <row r="38" spans="1:29" x14ac:dyDescent="0.25">
      <c r="A38" s="54" t="s">
        <v>179</v>
      </c>
      <c r="B38" s="151">
        <f t="shared" ref="B38:S38" si="33">B37/B34</f>
        <v>19.522589545252991</v>
      </c>
      <c r="C38" s="152">
        <f t="shared" si="33"/>
        <v>19.522589545252988</v>
      </c>
      <c r="D38" s="152">
        <f t="shared" si="33"/>
        <v>130.27295285359824</v>
      </c>
      <c r="E38" s="153">
        <f t="shared" si="33"/>
        <v>130.27295285359824</v>
      </c>
      <c r="F38" s="154">
        <f t="shared" si="33"/>
        <v>24.723141677904461</v>
      </c>
      <c r="G38" s="152">
        <f t="shared" si="33"/>
        <v>24.723293224387383</v>
      </c>
      <c r="H38" s="152">
        <f t="shared" si="33"/>
        <v>102.02966148015901</v>
      </c>
      <c r="I38" s="155">
        <f t="shared" si="33"/>
        <v>102.02966148015901</v>
      </c>
      <c r="J38" s="151">
        <f t="shared" si="33"/>
        <v>13.761097659402742</v>
      </c>
      <c r="K38" s="152">
        <f t="shared" si="33"/>
        <v>13.76109765940274</v>
      </c>
      <c r="L38" s="152">
        <f t="shared" si="33"/>
        <v>184.03547671840494</v>
      </c>
      <c r="M38" s="153">
        <f t="shared" si="33"/>
        <v>184.03547671840494</v>
      </c>
      <c r="N38" s="154">
        <f t="shared" si="33"/>
        <v>11.590326535161038</v>
      </c>
      <c r="O38" s="152">
        <f t="shared" si="33"/>
        <v>11.590326535161038</v>
      </c>
      <c r="P38" s="152">
        <f t="shared" si="33"/>
        <v>54.730258014073563</v>
      </c>
      <c r="Q38" s="155">
        <f t="shared" si="33"/>
        <v>54.730258014073556</v>
      </c>
      <c r="R38" s="151">
        <f t="shared" si="33"/>
        <v>14.564928198656069</v>
      </c>
      <c r="S38" s="152">
        <f t="shared" si="33"/>
        <v>14.564928198656071</v>
      </c>
      <c r="T38" s="238">
        <f>P38</f>
        <v>54.730258014073563</v>
      </c>
      <c r="U38" s="239">
        <f t="shared" ref="U38:Y39" si="34">Q38</f>
        <v>54.730258014073556</v>
      </c>
      <c r="V38" s="240">
        <f t="shared" si="34"/>
        <v>14.564928198656069</v>
      </c>
      <c r="W38" s="241">
        <f t="shared" si="34"/>
        <v>14.564928198656071</v>
      </c>
      <c r="X38" s="238">
        <f t="shared" si="34"/>
        <v>54.730258014073563</v>
      </c>
      <c r="Y38" s="239">
        <f t="shared" si="34"/>
        <v>54.730258014073556</v>
      </c>
      <c r="Z38" s="240">
        <f t="shared" ref="Z38:AC39" si="35">V38</f>
        <v>14.564928198656069</v>
      </c>
      <c r="AA38" s="241">
        <f t="shared" si="35"/>
        <v>14.564928198656071</v>
      </c>
      <c r="AB38" s="238">
        <f t="shared" si="35"/>
        <v>54.730258014073563</v>
      </c>
      <c r="AC38" s="239">
        <f t="shared" si="35"/>
        <v>54.730258014073556</v>
      </c>
    </row>
    <row r="39" spans="1:29" x14ac:dyDescent="0.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4"/>
        <v>-0.30000000000000426</v>
      </c>
      <c r="V39" s="350">
        <f t="shared" si="34"/>
        <v>7.1</v>
      </c>
      <c r="W39" s="226">
        <f t="shared" si="34"/>
        <v>23</v>
      </c>
      <c r="X39" s="226">
        <f t="shared" si="34"/>
        <v>3.1</v>
      </c>
      <c r="Y39" s="227">
        <f t="shared" si="34"/>
        <v>-0.30000000000000426</v>
      </c>
      <c r="Z39" s="350">
        <f t="shared" si="35"/>
        <v>7.1</v>
      </c>
      <c r="AA39" s="226">
        <f t="shared" si="35"/>
        <v>23</v>
      </c>
      <c r="AB39" s="226">
        <f t="shared" si="35"/>
        <v>3.1</v>
      </c>
      <c r="AC39" s="227">
        <f t="shared" si="35"/>
        <v>-0.30000000000000426</v>
      </c>
    </row>
    <row r="40" spans="1:29" x14ac:dyDescent="0.25">
      <c r="A40" s="54" t="s">
        <v>180</v>
      </c>
      <c r="B40" s="165">
        <f t="shared" ref="B40:S40" si="36">B39/B37</f>
        <v>0.31182795698924726</v>
      </c>
      <c r="C40" s="161">
        <f t="shared" si="36"/>
        <v>0.4241071428571429</v>
      </c>
      <c r="D40" s="161">
        <f t="shared" si="36"/>
        <v>0.5</v>
      </c>
      <c r="E40" s="162">
        <f t="shared" si="36"/>
        <v>0.41463414634146312</v>
      </c>
      <c r="F40" s="163">
        <f t="shared" si="36"/>
        <v>0.46938775510204073</v>
      </c>
      <c r="G40" s="161">
        <f t="shared" si="36"/>
        <v>0.58579881656804733</v>
      </c>
      <c r="H40" s="161">
        <f t="shared" si="36"/>
        <v>0.61832061068702293</v>
      </c>
      <c r="I40" s="164">
        <f t="shared" si="36"/>
        <v>-3.5555555555555283</v>
      </c>
      <c r="J40" s="165">
        <f t="shared" si="36"/>
        <v>0.48913043478260876</v>
      </c>
      <c r="K40" s="161">
        <f t="shared" si="36"/>
        <v>0.5381526104417671</v>
      </c>
      <c r="L40" s="161">
        <f t="shared" si="36"/>
        <v>0.125</v>
      </c>
      <c r="M40" s="162">
        <f t="shared" si="36"/>
        <v>-5.7142857142856822E-2</v>
      </c>
      <c r="N40" s="163">
        <f t="shared" si="36"/>
        <v>0.6</v>
      </c>
      <c r="O40" s="161">
        <f t="shared" si="36"/>
        <v>0.68281938325991187</v>
      </c>
      <c r="P40" s="161">
        <f t="shared" si="36"/>
        <v>0.58490566037735847</v>
      </c>
      <c r="Q40" s="164">
        <f t="shared" si="36"/>
        <v>-0.17647058823529632</v>
      </c>
      <c r="R40" s="165">
        <f t="shared" si="36"/>
        <v>0.67619047619047612</v>
      </c>
      <c r="S40" s="161">
        <f t="shared" si="36"/>
        <v>0.71428571428571419</v>
      </c>
      <c r="T40" s="242">
        <f t="shared" ref="T40:Y40" si="37">T39/T37</f>
        <v>0.56736134288287354</v>
      </c>
      <c r="U40" s="243">
        <f t="shared" si="37"/>
        <v>-0.21276050358108059</v>
      </c>
      <c r="V40" s="244">
        <f t="shared" si="37"/>
        <v>0.67619047619047612</v>
      </c>
      <c r="W40" s="245">
        <f t="shared" si="37"/>
        <v>0.71428571428571419</v>
      </c>
      <c r="X40" s="242">
        <f t="shared" si="37"/>
        <v>0.56736134288287354</v>
      </c>
      <c r="Y40" s="243">
        <f t="shared" si="37"/>
        <v>-0.21276050358108059</v>
      </c>
      <c r="Z40" s="244">
        <f>Z39/Z37</f>
        <v>0.41469553132839704</v>
      </c>
      <c r="AA40" s="245">
        <f>AA39/AA37</f>
        <v>0.4654159511719293</v>
      </c>
      <c r="AB40" s="242">
        <f>AB39/AB37</f>
        <v>0.36688587986662308</v>
      </c>
      <c r="AC40" s="243">
        <f>AC39/AC37</f>
        <v>-0.14660764625899148</v>
      </c>
    </row>
    <row r="41" spans="1:29" ht="13.8" thickBot="1" x14ac:dyDescent="0.3">
      <c r="A41" s="55" t="s">
        <v>182</v>
      </c>
      <c r="B41" s="156">
        <f>B39/B34</f>
        <v>6.087689213035878</v>
      </c>
      <c r="C41" s="157">
        <f t="shared" ref="C41:S41" si="38">C39/C34</f>
        <v>8.2796696732099733</v>
      </c>
      <c r="D41" s="157">
        <f t="shared" si="38"/>
        <v>65.136476426799121</v>
      </c>
      <c r="E41" s="158">
        <f t="shared" si="38"/>
        <v>54.01561459783337</v>
      </c>
      <c r="F41" s="159">
        <f t="shared" si="38"/>
        <v>11.604739971261274</v>
      </c>
      <c r="G41" s="157">
        <f t="shared" si="38"/>
        <v>14.482875912510952</v>
      </c>
      <c r="H41" s="157">
        <f t="shared" si="38"/>
        <v>63.087042594602138</v>
      </c>
      <c r="I41" s="160">
        <f t="shared" si="38"/>
        <v>-362.77212970722928</v>
      </c>
      <c r="J41" s="156">
        <f t="shared" si="38"/>
        <v>6.7309716812296028</v>
      </c>
      <c r="K41" s="157">
        <f t="shared" si="38"/>
        <v>7.4055706279516764</v>
      </c>
      <c r="L41" s="157">
        <f t="shared" si="38"/>
        <v>23.004434589800617</v>
      </c>
      <c r="M41" s="158">
        <f t="shared" si="38"/>
        <v>-10.516312955337366</v>
      </c>
      <c r="N41" s="159">
        <f t="shared" si="38"/>
        <v>6.9541959210966224</v>
      </c>
      <c r="O41" s="157">
        <f t="shared" si="38"/>
        <v>7.9140996165196524</v>
      </c>
      <c r="P41" s="157">
        <f t="shared" si="38"/>
        <v>32.01203770634492</v>
      </c>
      <c r="Q41" s="160">
        <f t="shared" si="38"/>
        <v>-9.658280826013101</v>
      </c>
      <c r="R41" s="156">
        <f t="shared" si="38"/>
        <v>9.8486657343293409</v>
      </c>
      <c r="S41" s="157">
        <f t="shared" si="38"/>
        <v>10.403520141897193</v>
      </c>
      <c r="T41" s="246">
        <f t="shared" ref="T41:Y41" si="39">T39/T34</f>
        <v>31.051832683190923</v>
      </c>
      <c r="U41" s="247">
        <f t="shared" si="39"/>
        <v>-11.644437256196762</v>
      </c>
      <c r="V41" s="248">
        <f t="shared" si="39"/>
        <v>9.8486657343293409</v>
      </c>
      <c r="W41" s="249">
        <f t="shared" si="39"/>
        <v>10.403520141897193</v>
      </c>
      <c r="X41" s="246">
        <f t="shared" si="39"/>
        <v>31.051832683190923</v>
      </c>
      <c r="Y41" s="247">
        <f t="shared" si="39"/>
        <v>-11.644437256196762</v>
      </c>
      <c r="Z41" s="248">
        <f>Z39/Z34</f>
        <v>6.0400106381016316</v>
      </c>
      <c r="AA41" s="249">
        <f>AA39/AA34</f>
        <v>6.7787499113283696</v>
      </c>
      <c r="AB41" s="246">
        <f>AB39/AB34</f>
        <v>20.079758866820679</v>
      </c>
      <c r="AC41" s="247">
        <f>AC39/AC34</f>
        <v>-8.0238743065906295</v>
      </c>
    </row>
    <row r="42" spans="1:29" ht="3.6" customHeight="1" thickBot="1" x14ac:dyDescent="0.3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 x14ac:dyDescent="0.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>Farming!M30</f>
        <v>2.1208800000000001</v>
      </c>
      <c r="V43" s="232"/>
      <c r="W43" s="233"/>
      <c r="X43" s="230"/>
      <c r="Y43" s="338">
        <f>Farming!N30</f>
        <v>2.0927949999999997</v>
      </c>
      <c r="Z43" s="232"/>
      <c r="AA43" s="233"/>
      <c r="AB43" s="230"/>
      <c r="AC43" s="343">
        <f>Farming!O30</f>
        <v>2.8867221428571432</v>
      </c>
    </row>
    <row r="44" spans="1:29" x14ac:dyDescent="0.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 x14ac:dyDescent="0.25">
      <c r="A45" s="190" t="s">
        <v>235</v>
      </c>
      <c r="B45" s="283"/>
      <c r="C45" s="281"/>
      <c r="D45" s="281"/>
      <c r="E45" s="298">
        <f>E44*Farming!$I$31/SUM(Farming!$I$2:$I$7)*10^6/43100</f>
        <v>40.173891806081329</v>
      </c>
      <c r="F45" s="280"/>
      <c r="G45" s="281"/>
      <c r="H45" s="281"/>
      <c r="I45" s="284">
        <f>I44*Farming!$J$31/SUM(Farming!$J$2:$J$7)*10^6/43100</f>
        <v>88.367340945012629</v>
      </c>
      <c r="J45" s="280"/>
      <c r="K45" s="281"/>
      <c r="L45" s="281"/>
      <c r="M45" s="284">
        <f>M44*Farming!$K$31/SUM(Farming!$K$2:$K$7)*10^6/43100</f>
        <v>92.282113647996837</v>
      </c>
      <c r="N45" s="288"/>
      <c r="O45" s="286"/>
      <c r="P45" s="286"/>
      <c r="Q45" s="289">
        <f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 x14ac:dyDescent="0.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40">V66*V23</f>
        <v>95.18754022029475</v>
      </c>
      <c r="W46" s="234">
        <f t="shared" si="40"/>
        <v>182.9359203893255</v>
      </c>
      <c r="X46" s="234">
        <f t="shared" si="40"/>
        <v>56.292546431850859</v>
      </c>
      <c r="Y46" s="235">
        <f t="shared" si="40"/>
        <v>71.981073918057604</v>
      </c>
      <c r="Z46" s="337">
        <f t="shared" si="40"/>
        <v>148.30810539719536</v>
      </c>
      <c r="AA46" s="234">
        <f t="shared" si="40"/>
        <v>279.09156870617358</v>
      </c>
      <c r="AB46" s="234">
        <f t="shared" si="40"/>
        <v>85.232532521706858</v>
      </c>
      <c r="AC46" s="235">
        <f t="shared" si="40"/>
        <v>108.75533284454565</v>
      </c>
    </row>
    <row r="47" spans="1:29" outlineLevel="1" x14ac:dyDescent="0.25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 x14ac:dyDescent="0.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41">T46*T49</f>
        <v>22.678385837132495</v>
      </c>
      <c r="U48" s="235">
        <f t="shared" si="41"/>
        <v>22.678385837132495</v>
      </c>
      <c r="V48" s="337">
        <f t="shared" si="41"/>
        <v>42.559813656189476</v>
      </c>
      <c r="W48" s="234">
        <f t="shared" si="41"/>
        <v>81.793464404842652</v>
      </c>
      <c r="X48" s="234">
        <f t="shared" si="41"/>
        <v>25.169263548856392</v>
      </c>
      <c r="Y48" s="235">
        <f t="shared" si="41"/>
        <v>32.183845549900752</v>
      </c>
      <c r="Z48" s="337">
        <f t="shared" si="41"/>
        <v>66.310835586246</v>
      </c>
      <c r="AA48" s="234">
        <f t="shared" si="41"/>
        <v>124.78613408497183</v>
      </c>
      <c r="AB48" s="234">
        <f t="shared" si="41"/>
        <v>38.108776560186236</v>
      </c>
      <c r="AC48" s="235">
        <f t="shared" si="41"/>
        <v>48.626182473763194</v>
      </c>
    </row>
    <row r="49" spans="1:29" ht="13.8" thickBot="1" x14ac:dyDescent="0.3">
      <c r="A49" s="54" t="s">
        <v>180</v>
      </c>
      <c r="B49" s="165">
        <f t="shared" ref="B49:S49" si="42">B48/B46</f>
        <v>0.29804372842347521</v>
      </c>
      <c r="C49" s="161">
        <f t="shared" si="42"/>
        <v>-0.1953125</v>
      </c>
      <c r="D49" s="161">
        <f t="shared" si="42"/>
        <v>-0.29166666666666669</v>
      </c>
      <c r="E49" s="162">
        <f t="shared" si="42"/>
        <v>1.9139072847682128</v>
      </c>
      <c r="F49" s="163">
        <f t="shared" si="42"/>
        <v>-9.1559370529327611E-2</v>
      </c>
      <c r="G49" s="161">
        <f t="shared" si="42"/>
        <v>-0.25575757575757579</v>
      </c>
      <c r="H49" s="161">
        <f t="shared" si="42"/>
        <v>-0.61604584527220629</v>
      </c>
      <c r="I49" s="164">
        <f t="shared" si="42"/>
        <v>1.2709359605911321</v>
      </c>
      <c r="J49" s="165">
        <f t="shared" si="42"/>
        <v>0.1934900542495479</v>
      </c>
      <c r="K49" s="161">
        <f t="shared" si="42"/>
        <v>0.30131306150656534</v>
      </c>
      <c r="L49" s="161">
        <f t="shared" si="42"/>
        <v>0.26552462526766596</v>
      </c>
      <c r="M49" s="162">
        <f t="shared" si="42"/>
        <v>0.48979591836734709</v>
      </c>
      <c r="N49" s="163">
        <f t="shared" si="42"/>
        <v>0.40213523131672596</v>
      </c>
      <c r="O49" s="161">
        <f t="shared" si="42"/>
        <v>0.39642481598317558</v>
      </c>
      <c r="P49" s="161">
        <f t="shared" si="42"/>
        <v>3.2376237623762378</v>
      </c>
      <c r="Q49" s="164">
        <f t="shared" si="42"/>
        <v>3.5538461538461572</v>
      </c>
      <c r="R49" s="165">
        <f t="shared" si="42"/>
        <v>0.53073770491803274</v>
      </c>
      <c r="S49" s="161">
        <f t="shared" si="42"/>
        <v>0.44711538461538458</v>
      </c>
      <c r="T49" s="242">
        <f t="shared" ref="T49:AC49" si="43">S49</f>
        <v>0.44711538461538458</v>
      </c>
      <c r="U49" s="243">
        <f t="shared" si="43"/>
        <v>0.44711538461538458</v>
      </c>
      <c r="V49" s="244">
        <f t="shared" si="43"/>
        <v>0.44711538461538458</v>
      </c>
      <c r="W49" s="245">
        <f t="shared" si="43"/>
        <v>0.44711538461538458</v>
      </c>
      <c r="X49" s="242">
        <f t="shared" si="43"/>
        <v>0.44711538461538458</v>
      </c>
      <c r="Y49" s="243">
        <f t="shared" si="43"/>
        <v>0.44711538461538458</v>
      </c>
      <c r="Z49" s="244">
        <f t="shared" si="43"/>
        <v>0.44711538461538458</v>
      </c>
      <c r="AA49" s="245">
        <f t="shared" si="43"/>
        <v>0.44711538461538458</v>
      </c>
      <c r="AB49" s="242">
        <f t="shared" si="43"/>
        <v>0.44711538461538458</v>
      </c>
      <c r="AC49" s="243">
        <f t="shared" si="43"/>
        <v>0.44711538461538458</v>
      </c>
    </row>
    <row r="50" spans="1:29" ht="13.8" hidden="1" outlineLevel="1" thickBot="1" x14ac:dyDescent="0.3">
      <c r="A50" s="55" t="s">
        <v>182</v>
      </c>
      <c r="B50" s="156" t="e">
        <f t="shared" ref="B50:S50" si="44">B48/B43</f>
        <v>#DIV/0!</v>
      </c>
      <c r="C50" s="157" t="e">
        <f t="shared" si="44"/>
        <v>#DIV/0!</v>
      </c>
      <c r="D50" s="157" t="e">
        <f t="shared" si="44"/>
        <v>#DIV/0!</v>
      </c>
      <c r="E50" s="158">
        <f t="shared" si="44"/>
        <v>94.198174706649283</v>
      </c>
      <c r="F50" s="159" t="e">
        <f t="shared" si="44"/>
        <v>#DIV/0!</v>
      </c>
      <c r="G50" s="157" t="e">
        <f t="shared" si="44"/>
        <v>#DIV/0!</v>
      </c>
      <c r="H50" s="157" t="e">
        <f t="shared" si="44"/>
        <v>#DIV/0!</v>
      </c>
      <c r="I50" s="160">
        <f t="shared" si="44"/>
        <v>18.759543372355122</v>
      </c>
      <c r="J50" s="156" t="e">
        <f t="shared" si="44"/>
        <v>#DIV/0!</v>
      </c>
      <c r="K50" s="157" t="e">
        <f t="shared" si="44"/>
        <v>#DIV/0!</v>
      </c>
      <c r="L50" s="157" t="e">
        <f t="shared" si="44"/>
        <v>#DIV/0!</v>
      </c>
      <c r="M50" s="158">
        <f t="shared" si="44"/>
        <v>17.347789824854047</v>
      </c>
      <c r="N50" s="159" t="e">
        <f t="shared" si="44"/>
        <v>#DIV/0!</v>
      </c>
      <c r="O50" s="157" t="e">
        <f t="shared" si="44"/>
        <v>#DIV/0!</v>
      </c>
      <c r="P50" s="157" t="e">
        <f t="shared" si="44"/>
        <v>#DIV/0!</v>
      </c>
      <c r="Q50" s="160">
        <f t="shared" si="44"/>
        <v>12.704174228675148</v>
      </c>
      <c r="R50" s="156" t="e">
        <f t="shared" si="44"/>
        <v>#DIV/0!</v>
      </c>
      <c r="S50" s="157" t="e">
        <f t="shared" si="44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 x14ac:dyDescent="0.3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 x14ac:dyDescent="0.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 x14ac:dyDescent="0.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 x14ac:dyDescent="0.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8" thickBot="1" x14ac:dyDescent="0.3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45">U55</f>
        <v>-20.8</v>
      </c>
      <c r="W55" s="149">
        <f t="shared" si="45"/>
        <v>-20.8</v>
      </c>
      <c r="X55" s="149">
        <f t="shared" si="45"/>
        <v>-20.8</v>
      </c>
      <c r="Y55" s="150">
        <f t="shared" si="45"/>
        <v>-20.8</v>
      </c>
      <c r="Z55" s="356">
        <f t="shared" si="45"/>
        <v>-20.8</v>
      </c>
      <c r="AA55" s="149">
        <f t="shared" si="45"/>
        <v>-20.8</v>
      </c>
      <c r="AB55" s="149">
        <f t="shared" si="45"/>
        <v>-20.8</v>
      </c>
      <c r="AC55" s="150">
        <f t="shared" si="45"/>
        <v>-20.8</v>
      </c>
    </row>
    <row r="57" spans="1:29" x14ac:dyDescent="0.25">
      <c r="A57" s="30" t="s">
        <v>212</v>
      </c>
      <c r="B57" s="85">
        <f t="shared" ref="B57:M57" si="46">SUM(B24,B31,B39,B5,B11,B48,B52,B54,B55)</f>
        <v>74.999999999999986</v>
      </c>
      <c r="C57" s="85">
        <f t="shared" si="46"/>
        <v>80.899999999999991</v>
      </c>
      <c r="D57" s="85">
        <f t="shared" si="46"/>
        <v>45</v>
      </c>
      <c r="E57" s="85">
        <f t="shared" si="46"/>
        <v>86.699999999999989</v>
      </c>
      <c r="F57" s="85">
        <f t="shared" si="46"/>
        <v>3.0000000000000036</v>
      </c>
      <c r="G57" s="85">
        <f t="shared" si="46"/>
        <v>57.5</v>
      </c>
      <c r="H57" s="85">
        <f t="shared" si="46"/>
        <v>30.099999999999994</v>
      </c>
      <c r="I57" s="85">
        <f t="shared" si="46"/>
        <v>132.39999999999998</v>
      </c>
      <c r="J57" s="85">
        <f t="shared" si="46"/>
        <v>80.500000000000014</v>
      </c>
      <c r="K57" s="85">
        <f t="shared" si="46"/>
        <v>142.30000000000001</v>
      </c>
      <c r="L57" s="85">
        <f t="shared" si="46"/>
        <v>115.20000000000002</v>
      </c>
      <c r="M57" s="85">
        <f t="shared" si="46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7">SUM(P24,P31,P39,P5,P11,P48,P52,P54,P55)</f>
        <v>99.000000000000014</v>
      </c>
      <c r="Q57" s="85">
        <f t="shared" si="47"/>
        <v>47.300000000000011</v>
      </c>
      <c r="R57" s="85">
        <f t="shared" si="47"/>
        <v>72.400000000000006</v>
      </c>
      <c r="S57" s="85">
        <f t="shared" si="47"/>
        <v>130.19999999999999</v>
      </c>
      <c r="T57" s="84">
        <f t="shared" si="47"/>
        <v>51.015488030696972</v>
      </c>
      <c r="U57" s="84">
        <f t="shared" si="47"/>
        <v>44.846662868679189</v>
      </c>
      <c r="V57" s="84">
        <f t="shared" si="47"/>
        <v>67.878485048958751</v>
      </c>
      <c r="W57" s="84">
        <f t="shared" si="47"/>
        <v>149.49311369583887</v>
      </c>
      <c r="X57" s="84">
        <f t="shared" si="47"/>
        <v>57.953312319590509</v>
      </c>
      <c r="Y57" s="84">
        <f t="shared" si="47"/>
        <v>63.19618708248386</v>
      </c>
      <c r="Z57" s="84">
        <f t="shared" si="47"/>
        <v>108.57417730245307</v>
      </c>
      <c r="AA57" s="84">
        <f t="shared" si="47"/>
        <v>217.67300362658403</v>
      </c>
      <c r="AB57" s="84">
        <f t="shared" si="47"/>
        <v>90.017724148855038</v>
      </c>
      <c r="AC57" s="84">
        <f t="shared" si="47"/>
        <v>92.896486774480138</v>
      </c>
    </row>
    <row r="58" spans="1:29" x14ac:dyDescent="0.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338.52109814687196</v>
      </c>
      <c r="AC58" s="33">
        <f>SUM(Z57:AC57)</f>
        <v>509.16139185237228</v>
      </c>
    </row>
    <row r="60" spans="1:29" x14ac:dyDescent="0.25">
      <c r="A60" s="30" t="s">
        <v>203</v>
      </c>
    </row>
    <row r="61" spans="1:29" x14ac:dyDescent="0.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8">Y61*2-X61</f>
        <v>192.02556022408962</v>
      </c>
      <c r="AA61" s="351">
        <f t="shared" si="48"/>
        <v>196.89834267040146</v>
      </c>
      <c r="AB61" s="351">
        <f t="shared" si="48"/>
        <v>201.77112511671331</v>
      </c>
      <c r="AC61" s="351">
        <f t="shared" si="48"/>
        <v>206.64390756302515</v>
      </c>
    </row>
    <row r="62" spans="1:29" x14ac:dyDescent="0.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8"/>
        <v>164.79033870766153</v>
      </c>
      <c r="AA62" s="351">
        <f t="shared" si="48"/>
        <v>167.55874265716784</v>
      </c>
      <c r="AB62" s="351">
        <f t="shared" si="48"/>
        <v>170.32714660667415</v>
      </c>
      <c r="AC62" s="351">
        <f t="shared" si="48"/>
        <v>173.09555055618046</v>
      </c>
    </row>
    <row r="63" spans="1:29" x14ac:dyDescent="0.25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8"/>
        <v>510.72691111111106</v>
      </c>
      <c r="AA63" s="351">
        <f t="shared" si="48"/>
        <v>510.10282222222213</v>
      </c>
      <c r="AB63" s="351">
        <f t="shared" si="48"/>
        <v>509.4787333333332</v>
      </c>
      <c r="AC63" s="351">
        <f t="shared" si="48"/>
        <v>508.85464444444426</v>
      </c>
    </row>
    <row r="64" spans="1:29" x14ac:dyDescent="0.25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 x14ac:dyDescent="0.25">
      <c r="A65" t="s">
        <v>16</v>
      </c>
    </row>
    <row r="66" spans="1:29" x14ac:dyDescent="0.25">
      <c r="A66" t="s">
        <v>376</v>
      </c>
      <c r="B66">
        <f t="shared" ref="B66:U66" si="49">B46/B23</f>
        <v>0.28676380893782388</v>
      </c>
      <c r="C66">
        <f t="shared" si="49"/>
        <v>0.2051008</v>
      </c>
      <c r="D66">
        <f t="shared" si="49"/>
        <v>3.2796571906354523E-2</v>
      </c>
      <c r="E66">
        <f t="shared" si="49"/>
        <v>9.7273605362379528E-2</v>
      </c>
      <c r="F66">
        <f t="shared" si="49"/>
        <v>0.27004628777292577</v>
      </c>
      <c r="G66">
        <f t="shared" si="49"/>
        <v>0.67047694765672539</v>
      </c>
      <c r="H66">
        <f t="shared" si="49"/>
        <v>0.14829004343598054</v>
      </c>
      <c r="I66">
        <f t="shared" si="49"/>
        <v>7.7163602133333439E-2</v>
      </c>
      <c r="J66">
        <f t="shared" si="49"/>
        <v>0.23524658536585369</v>
      </c>
      <c r="K66">
        <f t="shared" si="49"/>
        <v>0.64943730006397937</v>
      </c>
      <c r="L66">
        <f t="shared" si="49"/>
        <v>0.20785558155080219</v>
      </c>
      <c r="M66">
        <f t="shared" si="49"/>
        <v>0.32497307443365697</v>
      </c>
      <c r="N66">
        <f t="shared" si="49"/>
        <v>0.29563176403857061</v>
      </c>
      <c r="O66">
        <f t="shared" si="49"/>
        <v>1.4600517214700195</v>
      </c>
      <c r="P66">
        <f t="shared" si="49"/>
        <v>5.5975283979631807E-2</v>
      </c>
      <c r="Q66">
        <f t="shared" si="49"/>
        <v>3.6762537993920964E-2</v>
      </c>
      <c r="R66">
        <f t="shared" si="49"/>
        <v>0.86571737606409627</v>
      </c>
      <c r="S66">
        <f t="shared" si="49"/>
        <v>0.68993547455792126</v>
      </c>
      <c r="T66">
        <f t="shared" si="49"/>
        <v>0.2896392710476709</v>
      </c>
      <c r="U66">
        <f t="shared" si="49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0.7086456560568356</v>
      </c>
      <c r="AA66">
        <f>$AC$43*AA67</f>
        <v>1.3032122301432789</v>
      </c>
      <c r="AB66">
        <f>$AC$43*AB67</f>
        <v>0.38913734376437764</v>
      </c>
      <c r="AC66">
        <f>$AC$43*AC67</f>
        <v>0.48572691289265113</v>
      </c>
    </row>
    <row r="67" spans="1:29" x14ac:dyDescent="0.25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 x14ac:dyDescent="0.25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 x14ac:dyDescent="0.25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 x14ac:dyDescent="0.25">
      <c r="A70" t="s">
        <v>381</v>
      </c>
      <c r="B70" s="33">
        <f>B23</f>
        <v>303.03684527653093</v>
      </c>
      <c r="C70" s="33">
        <f t="shared" ref="C70:Y70" si="50">C23</f>
        <v>312.04168876961961</v>
      </c>
      <c r="D70" s="33">
        <f t="shared" si="50"/>
        <v>365.89189974684314</v>
      </c>
      <c r="E70" s="33">
        <f t="shared" si="50"/>
        <v>310.46448712879527</v>
      </c>
      <c r="F70" s="33">
        <f t="shared" si="50"/>
        <v>258.84451357012142</v>
      </c>
      <c r="G70" s="33">
        <f t="shared" si="50"/>
        <v>246.09347208232077</v>
      </c>
      <c r="H70" s="33">
        <f t="shared" si="50"/>
        <v>235.34958377071993</v>
      </c>
      <c r="I70" s="33">
        <f t="shared" si="50"/>
        <v>263.07740228252948</v>
      </c>
      <c r="J70" s="33">
        <f t="shared" si="50"/>
        <v>235.07248750921448</v>
      </c>
      <c r="K70" s="33">
        <f t="shared" si="50"/>
        <v>222.80826799714899</v>
      </c>
      <c r="L70" s="33">
        <f t="shared" si="50"/>
        <v>224.67522715326271</v>
      </c>
      <c r="M70" s="33">
        <f t="shared" si="50"/>
        <v>196.01623953311338</v>
      </c>
      <c r="N70" s="33">
        <f t="shared" si="50"/>
        <v>190.10135863704983</v>
      </c>
      <c r="O70" s="33">
        <f t="shared" si="50"/>
        <v>195.4040365862877</v>
      </c>
      <c r="P70" s="33">
        <f t="shared" si="50"/>
        <v>180.43677998445119</v>
      </c>
      <c r="Q70" s="33">
        <f t="shared" si="50"/>
        <v>176.81042590353357</v>
      </c>
      <c r="R70" s="33">
        <f t="shared" si="50"/>
        <v>169.10830722330425</v>
      </c>
      <c r="S70" s="33">
        <f t="shared" si="50"/>
        <v>180.88648084078596</v>
      </c>
      <c r="T70" s="33">
        <f t="shared" si="50"/>
        <v>175.11973060883739</v>
      </c>
      <c r="U70" s="33">
        <f t="shared" si="50"/>
        <v>177.6939424172167</v>
      </c>
      <c r="V70" s="33">
        <f t="shared" si="50"/>
        <v>185.28031029770219</v>
      </c>
      <c r="W70" s="33">
        <f t="shared" si="50"/>
        <v>193.62531496623626</v>
      </c>
      <c r="X70" s="33">
        <f t="shared" si="50"/>
        <v>199.53830516231471</v>
      </c>
      <c r="Y70" s="33">
        <f t="shared" si="50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J59"/>
  <sheetViews>
    <sheetView workbookViewId="0">
      <pane xSplit="1" ySplit="1" topLeftCell="P29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T58" sqref="T58"/>
    </sheetView>
  </sheetViews>
  <sheetFormatPr defaultRowHeight="13.2" outlineLevelCol="1" x14ac:dyDescent="0.25"/>
  <cols>
    <col min="1" max="1" width="70" bestFit="1" customWidth="1"/>
    <col min="2" max="5" width="8.88671875" hidden="1" customWidth="1" outlineLevel="1"/>
    <col min="6" max="6" width="8.88671875" collapsed="1"/>
  </cols>
  <sheetData>
    <row r="1" spans="1:36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 x14ac:dyDescent="0.25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>EBITDA_good!T57*1000-SUM(T4:T5,T9,T12)</f>
        <v>10866.279046876982</v>
      </c>
      <c r="U2" s="353">
        <f>EBITDA_good!U57*1000-SUM(U4:U5,U9,U12)</f>
        <v>7493.5248053373871</v>
      </c>
      <c r="V2" s="353">
        <f>EBITDA_good!V57*1000-SUM(V4:V5,V9,V12)</f>
        <v>24521.205110820178</v>
      </c>
      <c r="W2" s="353">
        <f>EBITDA_good!W57*1000-SUM(W4:W5,W9,W12)</f>
        <v>101884.64671416392</v>
      </c>
      <c r="X2" s="353">
        <f>EBITDA_good!X57*1000-SUM(X4:X5,X9,X12)</f>
        <v>15795.328862765702</v>
      </c>
      <c r="Y2" s="353">
        <f>EBITDA_good!Y57*1000-SUM(Y4:Y5,Y9,Y12)</f>
        <v>20808.613413310297</v>
      </c>
      <c r="Z2" s="353">
        <f>EBITDA_good!Z57*1000-SUM(Z4:Z5,Z9,Z12)</f>
        <v>53171.281411941818</v>
      </c>
      <c r="AA2" s="353">
        <f>EBITDA_good!AA57*1000-SUM(AA4:AA5,AA9,AA12)</f>
        <v>159581.81603571799</v>
      </c>
      <c r="AB2" s="353">
        <f>EBITDA_good!AB57*1000-SUM(AB4:AB5,AB9,AB12)</f>
        <v>44867.62573804026</v>
      </c>
      <c r="AC2" s="353">
        <f>EBITDA_good!AC57*1000-SUM(AC4:AC5,AC9,AC12)</f>
        <v>50736.838892257911</v>
      </c>
      <c r="AD2" s="311"/>
      <c r="AE2" s="311"/>
      <c r="AF2" s="311"/>
      <c r="AG2" s="311"/>
      <c r="AH2" s="311"/>
      <c r="AI2" s="311"/>
      <c r="AJ2" s="311"/>
    </row>
    <row r="3" spans="1:36" x14ac:dyDescent="0.25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 x14ac:dyDescent="0.25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>SUM(BS_good!S15:S18)*T57/4</f>
        <v>13577.025</v>
      </c>
      <c r="U4" s="360">
        <f>SUM(BS_good!T15:T18)*U57/4</f>
        <v>12950.34328125</v>
      </c>
      <c r="V4" s="360">
        <f>SUM(BS_good!U15:U18)*V57/4</f>
        <v>13270.024344726562</v>
      </c>
      <c r="W4" s="360">
        <f>SUM(BS_good!V15:V18)*W57/4</f>
        <v>17521.211388262938</v>
      </c>
      <c r="X4" s="360">
        <f>SUM(BS_good!W15:W18)*X57/4</f>
        <v>17755.18867473301</v>
      </c>
      <c r="Y4" s="360">
        <f>SUM(BS_good!X15:X18)*Y57/4</f>
        <v>17984.778887081764</v>
      </c>
      <c r="Z4" s="360">
        <f>SUM(BS_good!Y15:Y18)*Z57/4</f>
        <v>18210.064282948981</v>
      </c>
      <c r="AA4" s="360">
        <f>SUM(BS_good!Z15:Z18)*AA57/4</f>
        <v>18056.125577643688</v>
      </c>
      <c r="AB4" s="360">
        <f>SUM(BS_good!AA15:AA18)*AB57/4</f>
        <v>17905.073223062867</v>
      </c>
      <c r="AC4" s="360">
        <f>SUM(BS_good!AB15:AB18)*AC57/4</f>
        <v>17756.853100130436</v>
      </c>
    </row>
    <row r="5" spans="1:36" x14ac:dyDescent="0.25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>SUM(BS_good!S29:T31,BS_good!S34:T35)*T56/4</f>
        <v>26572.183983819988</v>
      </c>
      <c r="U5" s="360">
        <f>SUM(BS_good!T29:U31,BS_good!T34:U35)*U56/4</f>
        <v>24402.794782091798</v>
      </c>
      <c r="V5" s="360">
        <f>SUM(BS_good!U29:V31,BS_good!U34:V35)*V56/4</f>
        <v>30087.255593412014</v>
      </c>
      <c r="W5" s="360">
        <f>SUM(BS_good!V29:W31,BS_good!V34:W35)*W56/4</f>
        <v>30087.255593412014</v>
      </c>
      <c r="X5" s="360">
        <f>SUM(BS_good!W29:X31,BS_good!W34:X35)*X56/4</f>
        <v>24402.794782091798</v>
      </c>
      <c r="Y5" s="360">
        <f>SUM(BS_good!X29:Y31,BS_good!X34:Y35)*Y56/4</f>
        <v>24402.794782091798</v>
      </c>
      <c r="Z5" s="360">
        <f>SUM(BS_good!Y29:Z31,BS_good!Y34:Z35)*Z56/4</f>
        <v>37192.831607562272</v>
      </c>
      <c r="AA5" s="360">
        <f>SUM(BS_good!Z29:AA31,BS_good!Z34:AA35)*AA56/4</f>
        <v>40035.06201322237</v>
      </c>
      <c r="AB5" s="360">
        <f>SUM(BS_good!AA29:AB31,BS_good!AA34:AB35)*AB56/4</f>
        <v>27245.025187751908</v>
      </c>
      <c r="AC5" s="360">
        <f>SUM(BS_good!AB29:AC31,BS_good!AB34:AC35)*AC56/4</f>
        <v>24402.794782091798</v>
      </c>
    </row>
    <row r="6" spans="1:36" x14ac:dyDescent="0.25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 x14ac:dyDescent="0.25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 x14ac:dyDescent="0.25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 x14ac:dyDescent="0.25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 x14ac:dyDescent="0.25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 x14ac:dyDescent="0.25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 x14ac:dyDescent="0.25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 x14ac:dyDescent="0.25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 x14ac:dyDescent="0.25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 x14ac:dyDescent="0.25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 x14ac:dyDescent="0.25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67878.485048958755</v>
      </c>
      <c r="W16" s="354">
        <f t="shared" si="0"/>
        <v>149493.11369583887</v>
      </c>
      <c r="X16" s="354">
        <f t="shared" si="0"/>
        <v>57953.312319590514</v>
      </c>
      <c r="Y16" s="354">
        <f t="shared" si="0"/>
        <v>63196.187082483862</v>
      </c>
      <c r="Z16" s="354">
        <f t="shared" si="0"/>
        <v>108574.17730245307</v>
      </c>
      <c r="AA16" s="354">
        <f t="shared" si="0"/>
        <v>217673.00362658405</v>
      </c>
      <c r="AB16" s="354">
        <f t="shared" si="0"/>
        <v>90017.724148855035</v>
      </c>
      <c r="AC16" s="354">
        <f t="shared" si="0"/>
        <v>92896.486774480145</v>
      </c>
    </row>
    <row r="17" spans="1:29" x14ac:dyDescent="0.25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 x14ac:dyDescent="0.25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>BS_good!S5-BS_good!T5</f>
        <v>37582.166666666672</v>
      </c>
      <c r="U18" s="320">
        <f>BS_good!T5-BS_good!U5</f>
        <v>-4996.4722222222335</v>
      </c>
      <c r="V18" s="320">
        <f>BS_good!U5-BS_good!V5</f>
        <v>-684.71759259258397</v>
      </c>
      <c r="W18" s="320">
        <f>BS_good!V5-BS_good!W5</f>
        <v>7420.1628086419805</v>
      </c>
      <c r="X18" s="320">
        <f>BS_good!W5-BS_good!X5</f>
        <v>-1816.3100565843633</v>
      </c>
      <c r="Y18" s="320">
        <f>BS_good!X5-BS_good!Y5</f>
        <v>-7689.0283993484336</v>
      </c>
      <c r="Z18" s="320">
        <f>BS_good!Y5-BS_good!Z5</f>
        <v>4969.3002007601754</v>
      </c>
      <c r="AA18" s="320">
        <f>BS_good!Z5-BS_good!AA5</f>
        <v>-466.1775435575837</v>
      </c>
      <c r="AB18" s="320">
        <f>BS_good!AA5-BS_good!AB5</f>
        <v>288.87156955320097</v>
      </c>
      <c r="AC18" s="320">
        <f>BS_good!AB5-BS_good!AC5</f>
        <v>451.13642991083907</v>
      </c>
    </row>
    <row r="19" spans="1:29" x14ac:dyDescent="0.25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>BS_good!S6-BS_good!T6</f>
        <v>9202</v>
      </c>
      <c r="U19" s="320">
        <f>BS_good!T6-BS_good!U6</f>
        <v>18372</v>
      </c>
      <c r="V19" s="320">
        <f>BS_good!U6-BS_good!V6</f>
        <v>-12679</v>
      </c>
      <c r="W19" s="320">
        <f>BS_good!V6-BS_good!W6</f>
        <v>-15586</v>
      </c>
      <c r="X19" s="320">
        <f>BS_good!W6-BS_good!X6</f>
        <v>9202</v>
      </c>
      <c r="Y19" s="320">
        <f>BS_good!X6-BS_good!Y6</f>
        <v>18372</v>
      </c>
      <c r="Z19" s="320">
        <f>BS_good!Y6-BS_good!Z6</f>
        <v>-12679</v>
      </c>
      <c r="AA19" s="320">
        <f>BS_good!Z6-BS_good!AA6</f>
        <v>-15586</v>
      </c>
      <c r="AB19" s="320">
        <f>BS_good!AA6-BS_good!AB6</f>
        <v>9202</v>
      </c>
      <c r="AC19" s="320">
        <f>BS_good!AB6-BS_good!AC6</f>
        <v>18372</v>
      </c>
    </row>
    <row r="20" spans="1:29" x14ac:dyDescent="0.25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 x14ac:dyDescent="0.25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>BS_good!S8-BS_good!T8</f>
        <v>59404.833333333343</v>
      </c>
      <c r="U21" s="320">
        <f>BS_good!T8-BS_good!U8</f>
        <v>-10349.361111111124</v>
      </c>
      <c r="V21" s="320">
        <f>BS_good!U8-BS_good!V8</f>
        <v>-90.08796296294895</v>
      </c>
      <c r="W21" s="320">
        <f>BS_good!V8-BS_good!W8</f>
        <v>2151.0640432098589</v>
      </c>
      <c r="X21" s="320">
        <f>BS_good!W8-BS_good!X8</f>
        <v>-3023.5919495884737</v>
      </c>
      <c r="Y21" s="320">
        <f>BS_good!X8-BS_good!Y8</f>
        <v>-5320.3572745198908</v>
      </c>
      <c r="Z21" s="320">
        <f>BS_good!Y8-BS_good!Z8</f>
        <v>7128.7498463934753</v>
      </c>
      <c r="AA21" s="320">
        <f>BS_good!Z8-BS_good!AA8</f>
        <v>-1583.930734763213</v>
      </c>
      <c r="AB21" s="320">
        <f>BS_good!AA8-BS_good!AB8</f>
        <v>-123.02567203849321</v>
      </c>
      <c r="AC21" s="320">
        <f>BS_good!AB8-BS_good!AC8</f>
        <v>-128.51529021782335</v>
      </c>
    </row>
    <row r="22" spans="1:29" x14ac:dyDescent="0.25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>BS_good!S10-BS_good!T10</f>
        <v>121.96098432164945</v>
      </c>
      <c r="U22" s="320">
        <f>BS_good!T10-BS_good!U10</f>
        <v>-1322.595382698124</v>
      </c>
      <c r="V22" s="320">
        <f>BS_good!U10-BS_good!V10</f>
        <v>-209017.31429925474</v>
      </c>
      <c r="W22" s="320">
        <f>BS_good!V10-BS_good!W10</f>
        <v>129519.96272179206</v>
      </c>
      <c r="X22" s="320">
        <f>BS_good!W10-BS_good!X10</f>
        <v>78297.474088157338</v>
      </c>
      <c r="Y22" s="320">
        <f>BS_good!X10-BS_good!Y10</f>
        <v>-14231.847683351076</v>
      </c>
      <c r="Z22" s="320">
        <f>BS_good!Y10-BS_good!Z10</f>
        <v>-319590.7665781111</v>
      </c>
      <c r="AA22" s="320">
        <f>BS_good!Z10-BS_good!AA10</f>
        <v>198038.0635556443</v>
      </c>
      <c r="AB22" s="320">
        <f>BS_good!AA10-BS_good!AB10</f>
        <v>119718.07143755468</v>
      </c>
      <c r="AC22" s="320">
        <f>BS_good!AB10-BS_good!AC10</f>
        <v>1834.6315849120947</v>
      </c>
    </row>
    <row r="23" spans="1:29" x14ac:dyDescent="0.25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>BS_good!S9-BS_good!T9</f>
        <v>313705.98146473453</v>
      </c>
      <c r="U23" s="320">
        <f>BS_good!T9-BS_good!U9</f>
        <v>105729.23935577643</v>
      </c>
      <c r="V23" s="320">
        <f>BS_good!U9-BS_good!V9</f>
        <v>-236936.56114238079</v>
      </c>
      <c r="W23" s="320">
        <f>BS_good!V9-BS_good!W9</f>
        <v>-28581.922071648529</v>
      </c>
      <c r="X23" s="320">
        <f>BS_good!W9-BS_good!X9</f>
        <v>79319.866814044479</v>
      </c>
      <c r="Y23" s="320">
        <f>BS_good!X9-BS_good!Y9</f>
        <v>79083.90301516949</v>
      </c>
      <c r="Z23" s="320">
        <f>BS_good!Y9-BS_good!Z9</f>
        <v>-313719.76694729272</v>
      </c>
      <c r="AA23" s="320">
        <f>BS_good!Z9-BS_good!AA9</f>
        <v>-45450.513083404629</v>
      </c>
      <c r="AB23" s="320">
        <f>BS_good!AA9-BS_good!AB9</f>
        <v>148992.64348669915</v>
      </c>
      <c r="AC23" s="320">
        <f>BS_good!AB9-BS_good!AC9</f>
        <v>210177.6365439982</v>
      </c>
    </row>
    <row r="24" spans="1:29" x14ac:dyDescent="0.25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>BS_good!S27-BS_good!T27</f>
        <v>359.66666666666424</v>
      </c>
      <c r="U24" s="320">
        <f>BS_good!T27-BS_good!U27</f>
        <v>-365.22222222221899</v>
      </c>
      <c r="V24" s="320">
        <f>BS_good!U27-BS_good!V27</f>
        <v>-1249.0925925925985</v>
      </c>
      <c r="W24" s="320">
        <f>BS_good!V27-BS_good!W27</f>
        <v>281.058641975309</v>
      </c>
      <c r="X24" s="320">
        <f>BS_good!W27-BS_good!X27</f>
        <v>-124.76491769547283</v>
      </c>
      <c r="Y24" s="320">
        <f>BS_good!X27-BS_good!Y27</f>
        <v>602.9409293552817</v>
      </c>
      <c r="Z24" s="320">
        <f>BS_good!Y27-BS_good!Z27</f>
        <v>-82.568915752177418</v>
      </c>
      <c r="AA24" s="320">
        <f>BS_good!Z27-BS_good!AA27</f>
        <v>-156.27484615530557</v>
      </c>
      <c r="AB24" s="320">
        <f>BS_good!AA27-BS_good!AB27</f>
        <v>-121.45028347749758</v>
      </c>
      <c r="AC24" s="320">
        <f>BS_good!AB27-BS_good!AC27</f>
        <v>66.490101375020458</v>
      </c>
    </row>
    <row r="25" spans="1:29" x14ac:dyDescent="0.25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>BS_good!S28-BS_good!T28</f>
        <v>16395.333333333328</v>
      </c>
      <c r="U25" s="320">
        <f>BS_good!T28-BS_good!U28</f>
        <v>-3127.2777777777665</v>
      </c>
      <c r="V25" s="320">
        <f>BS_good!U28-BS_good!V28</f>
        <v>-134.49074074074451</v>
      </c>
      <c r="W25" s="320">
        <f>BS_good!V28-BS_good!W28</f>
        <v>853.09413580247201</v>
      </c>
      <c r="X25" s="320">
        <f>BS_good!W28-BS_good!X28</f>
        <v>-3260.3901748971257</v>
      </c>
      <c r="Y25" s="320">
        <f>BS_good!X28-BS_good!Y28</f>
        <v>525.37812928669155</v>
      </c>
      <c r="Z25" s="320">
        <f>BS_good!Y28-BS_good!Z28</f>
        <v>1875.2744841678068</v>
      </c>
      <c r="AA25" s="320">
        <f>BS_good!Z28-BS_good!AA28</f>
        <v>-544.73532402643468</v>
      </c>
      <c r="AB25" s="320">
        <f>BS_good!AA28-BS_good!AB28</f>
        <v>-114.31158173456788</v>
      </c>
      <c r="AC25" s="320">
        <f>BS_good!AB28-BS_good!AC28</f>
        <v>-110.94838856685965</v>
      </c>
    </row>
    <row r="26" spans="1:29" x14ac:dyDescent="0.25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148786.97350842413</v>
      </c>
      <c r="V26" s="320">
        <f t="shared" si="1"/>
        <v>-392912.77928156563</v>
      </c>
      <c r="W26" s="320">
        <f t="shared" si="1"/>
        <v>245550.53397561205</v>
      </c>
      <c r="X26" s="320">
        <f t="shared" si="1"/>
        <v>216547.59612302689</v>
      </c>
      <c r="Y26" s="320">
        <f t="shared" si="1"/>
        <v>134539.17579907592</v>
      </c>
      <c r="Z26" s="320">
        <f t="shared" si="1"/>
        <v>-523524.60060738155</v>
      </c>
      <c r="AA26" s="320">
        <f t="shared" si="1"/>
        <v>351923.43565032119</v>
      </c>
      <c r="AB26" s="320">
        <f t="shared" si="1"/>
        <v>367860.5231054115</v>
      </c>
      <c r="AC26" s="320">
        <f t="shared" si="1"/>
        <v>323558.91775589169</v>
      </c>
    </row>
    <row r="27" spans="1:29" x14ac:dyDescent="0.25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-30087.255593412014</v>
      </c>
      <c r="W27" s="320">
        <f t="shared" si="2"/>
        <v>-30087.255593412014</v>
      </c>
      <c r="X27" s="320">
        <f t="shared" si="2"/>
        <v>-24402.794782091798</v>
      </c>
      <c r="Y27" s="320">
        <f t="shared" si="2"/>
        <v>-24402.794782091798</v>
      </c>
      <c r="Z27" s="320">
        <f t="shared" si="2"/>
        <v>-37192.831607562272</v>
      </c>
      <c r="AA27" s="320">
        <f t="shared" si="2"/>
        <v>-40035.06201322237</v>
      </c>
      <c r="AB27" s="320">
        <f t="shared" si="2"/>
        <v>-27245.025187751908</v>
      </c>
      <c r="AC27" s="320">
        <f t="shared" si="2"/>
        <v>-24402.794782091798</v>
      </c>
    </row>
    <row r="28" spans="1:29" x14ac:dyDescent="0.25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-1324.1450759842894</v>
      </c>
      <c r="W28" s="359">
        <f t="shared" si="3"/>
        <v>-5501.7709225648505</v>
      </c>
      <c r="X28" s="359">
        <f t="shared" si="3"/>
        <v>-852.94775858934781</v>
      </c>
      <c r="Y28" s="359">
        <f t="shared" si="3"/>
        <v>-1123.6651243187559</v>
      </c>
      <c r="Z28" s="359">
        <f t="shared" si="3"/>
        <v>-2871.249196244858</v>
      </c>
      <c r="AA28" s="359">
        <f t="shared" si="3"/>
        <v>-8617.4180659287704</v>
      </c>
      <c r="AB28" s="359">
        <f t="shared" si="3"/>
        <v>-2422.8517898541741</v>
      </c>
      <c r="AC28" s="359">
        <f t="shared" si="3"/>
        <v>-2739.789300181927</v>
      </c>
    </row>
    <row r="29" spans="1:29" x14ac:dyDescent="0.25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123979.5283868441</v>
      </c>
      <c r="V29" s="354">
        <f t="shared" si="4"/>
        <v>-424324.17995096196</v>
      </c>
      <c r="W29" s="354">
        <f t="shared" si="4"/>
        <v>209961.50745963521</v>
      </c>
      <c r="X29" s="354">
        <f t="shared" si="4"/>
        <v>191291.85358234574</v>
      </c>
      <c r="Y29" s="354">
        <f t="shared" si="4"/>
        <v>109012.71589266536</v>
      </c>
      <c r="Z29" s="354">
        <f t="shared" si="4"/>
        <v>-563588.68141118868</v>
      </c>
      <c r="AA29" s="354">
        <f t="shared" si="4"/>
        <v>303270.95557117002</v>
      </c>
      <c r="AB29" s="354">
        <f t="shared" si="4"/>
        <v>338192.6461278054</v>
      </c>
      <c r="AC29" s="354">
        <f t="shared" si="4"/>
        <v>296416.33367361798</v>
      </c>
    </row>
    <row r="30" spans="1:29" x14ac:dyDescent="0.25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 x14ac:dyDescent="0.25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 x14ac:dyDescent="0.25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 x14ac:dyDescent="0.25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 x14ac:dyDescent="0.25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 x14ac:dyDescent="0.25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/>
      <c r="X35" s="320"/>
      <c r="Y35" s="320"/>
      <c r="Z35" s="320"/>
      <c r="AA35" s="320"/>
      <c r="AB35" s="320"/>
      <c r="AC35" s="320"/>
    </row>
    <row r="36" spans="1:29" x14ac:dyDescent="0.25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>BS_good!S12-BS_good!T12</f>
        <v>0</v>
      </c>
      <c r="U36" s="320">
        <f>BS_good!T12-BS_good!U12</f>
        <v>0</v>
      </c>
      <c r="V36" s="320">
        <f>BS_good!U12-BS_good!V12</f>
        <v>0</v>
      </c>
      <c r="W36" s="320">
        <f>BS_good!V12-BS_good!W12</f>
        <v>0</v>
      </c>
      <c r="X36" s="320">
        <f>BS_good!W12-BS_good!X12</f>
        <v>0</v>
      </c>
      <c r="Y36" s="320">
        <f>BS_good!X12-BS_good!Y12</f>
        <v>0</v>
      </c>
      <c r="Z36" s="320">
        <f>BS_good!Y12-BS_good!Z12</f>
        <v>0</v>
      </c>
      <c r="AA36" s="320">
        <f>BS_good!Z12-BS_good!AA12</f>
        <v>0</v>
      </c>
      <c r="AB36" s="320">
        <f>BS_good!AA12-BS_good!AB12</f>
        <v>0</v>
      </c>
      <c r="AC36" s="320">
        <f>BS_good!AB12-BS_good!AC12</f>
        <v>0</v>
      </c>
    </row>
    <row r="37" spans="1:29" x14ac:dyDescent="0.25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 x14ac:dyDescent="0.25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 x14ac:dyDescent="0.25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-30000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 x14ac:dyDescent="0.25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 x14ac:dyDescent="0.25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 x14ac:dyDescent="0.25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>SUM(BS_good!T29:T30)-SUM(BS_good!S29:S30)</f>
        <v>-569327</v>
      </c>
      <c r="U42" s="320">
        <f>SUM(BS_good!U29:U30)-SUM(BS_good!T29:T30)</f>
        <v>0</v>
      </c>
      <c r="V42" s="320">
        <f>SUM(BS_good!V29:V30)-SUM(BS_good!U29:U30)</f>
        <v>200000</v>
      </c>
      <c r="W42" s="320">
        <f>SUM(BS_good!W29:W30)-SUM(BS_good!V29:V30)</f>
        <v>-200000</v>
      </c>
      <c r="X42" s="320">
        <f>SUM(BS_good!X29:X30)-SUM(BS_good!W29:W30)</f>
        <v>0</v>
      </c>
      <c r="Y42" s="320">
        <f>SUM(BS_good!Y29:Y30)-SUM(BS_good!X29:X30)</f>
        <v>0</v>
      </c>
      <c r="Z42" s="320">
        <f>SUM(BS_good!Z29:Z30)-SUM(BS_good!Y29:Y30)</f>
        <v>450000</v>
      </c>
      <c r="AA42" s="320">
        <f>SUM(BS_good!AA29:AA30)-SUM(BS_good!Z29:Z30)</f>
        <v>-350000</v>
      </c>
      <c r="AB42" s="320">
        <f>SUM(BS_good!AB29:AB30)-SUM(BS_good!AA29:AA30)</f>
        <v>-100000</v>
      </c>
      <c r="AC42" s="320">
        <f>SUM(BS_good!AC29:AC30)-SUM(BS_good!AB29:AB30)</f>
        <v>0</v>
      </c>
    </row>
    <row r="43" spans="1:29" x14ac:dyDescent="0.25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 x14ac:dyDescent="0.25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 x14ac:dyDescent="0.25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 x14ac:dyDescent="0.25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 x14ac:dyDescent="0.25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 x14ac:dyDescent="0.25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200000</v>
      </c>
      <c r="W48" s="354">
        <f t="shared" si="7"/>
        <v>-200000</v>
      </c>
      <c r="X48" s="354">
        <f t="shared" si="7"/>
        <v>0</v>
      </c>
      <c r="Y48" s="354">
        <f t="shared" si="7"/>
        <v>-19921</v>
      </c>
      <c r="Z48" s="354">
        <f t="shared" si="7"/>
        <v>450000</v>
      </c>
      <c r="AA48" s="354">
        <f t="shared" si="7"/>
        <v>-350000</v>
      </c>
      <c r="AB48" s="354">
        <f t="shared" si="7"/>
        <v>-100000</v>
      </c>
      <c r="AC48" s="354">
        <f t="shared" si="7"/>
        <v>-19921</v>
      </c>
    </row>
    <row r="49" spans="1:36" x14ac:dyDescent="0.25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 x14ac:dyDescent="0.25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74058.528386844104</v>
      </c>
      <c r="V50" s="353">
        <f t="shared" si="8"/>
        <v>-464324.17995096196</v>
      </c>
      <c r="W50" s="353">
        <f t="shared" si="8"/>
        <v>-20038.492540364794</v>
      </c>
      <c r="X50" s="353">
        <f t="shared" si="8"/>
        <v>161291.85358234574</v>
      </c>
      <c r="Y50" s="353">
        <f t="shared" si="8"/>
        <v>59091.715892665365</v>
      </c>
      <c r="Z50" s="353">
        <f t="shared" si="8"/>
        <v>-123588.68141118868</v>
      </c>
      <c r="AA50" s="353">
        <f t="shared" si="8"/>
        <v>-56729.044428829977</v>
      </c>
      <c r="AB50" s="353">
        <f t="shared" si="8"/>
        <v>228192.6461278054</v>
      </c>
      <c r="AC50" s="353">
        <f t="shared" si="8"/>
        <v>266495.33367361798</v>
      </c>
      <c r="AD50" s="311"/>
      <c r="AE50" s="311"/>
      <c r="AF50" s="311"/>
      <c r="AG50" s="311"/>
      <c r="AH50" s="311"/>
      <c r="AI50" s="311"/>
      <c r="AJ50" s="311"/>
    </row>
    <row r="51" spans="1:36" x14ac:dyDescent="0.25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592964.99581424601</v>
      </c>
      <c r="W51" s="320">
        <f t="shared" si="9"/>
        <v>128640.81586328405</v>
      </c>
      <c r="X51" s="320">
        <f t="shared" si="9"/>
        <v>108602.32332291926</v>
      </c>
      <c r="Y51" s="320">
        <f t="shared" si="9"/>
        <v>269894.17690526496</v>
      </c>
      <c r="Z51" s="320">
        <f t="shared" si="9"/>
        <v>328985.89279793034</v>
      </c>
      <c r="AA51" s="320">
        <f t="shared" si="9"/>
        <v>205397.21138674166</v>
      </c>
      <c r="AB51" s="320">
        <f t="shared" si="9"/>
        <v>148668.16695791169</v>
      </c>
      <c r="AC51" s="320">
        <f t="shared" si="9"/>
        <v>376860.81308571709</v>
      </c>
    </row>
    <row r="52" spans="1:36" x14ac:dyDescent="0.25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592964.99581424601</v>
      </c>
      <c r="V52" s="320">
        <f t="shared" si="10"/>
        <v>128640.81586328405</v>
      </c>
      <c r="W52" s="320">
        <f t="shared" si="10"/>
        <v>108602.32332291926</v>
      </c>
      <c r="X52" s="320">
        <f t="shared" si="10"/>
        <v>269894.17690526496</v>
      </c>
      <c r="Y52" s="320">
        <f t="shared" si="10"/>
        <v>328985.89279793034</v>
      </c>
      <c r="Z52" s="320">
        <f t="shared" si="10"/>
        <v>205397.21138674166</v>
      </c>
      <c r="AA52" s="320">
        <f t="shared" si="10"/>
        <v>148668.16695791169</v>
      </c>
      <c r="AB52" s="320">
        <f t="shared" si="10"/>
        <v>376860.81308571709</v>
      </c>
      <c r="AC52" s="320">
        <f t="shared" si="10"/>
        <v>643356.14675933507</v>
      </c>
    </row>
    <row r="54" spans="1:36" x14ac:dyDescent="0.25">
      <c r="D54" s="316">
        <f>D2+D4+D5-EBITDA_good!D57*1000</f>
        <v>-2398</v>
      </c>
      <c r="E54" s="316">
        <f>E2+E4+E5-EBITDA_good!E57*1000</f>
        <v>188226</v>
      </c>
      <c r="F54" s="316">
        <f>F2+F4+F5+F9+F12-EBITDA_good!F57*1000</f>
        <v>-3776.0000000000036</v>
      </c>
      <c r="G54" s="316">
        <f>G2+G4+G5+G9+G12-EBITDA_good!G57*1000</f>
        <v>-21276</v>
      </c>
      <c r="H54" s="316">
        <f>H2+H4+H5+H9+H12-EBITDA_good!H57*1000</f>
        <v>-25711.999999999993</v>
      </c>
      <c r="I54" s="316">
        <f>I2+I4+I5+I9+I12-EBITDA_good!I57*1000</f>
        <v>-27602.999999999971</v>
      </c>
      <c r="J54" s="316">
        <f>J2+J4+J5+J9+J12-EBITDA_good!J57*1000</f>
        <v>-9114.0000000000146</v>
      </c>
      <c r="K54" s="316">
        <f>K2+K4+K5+K9+K12-EBITDA_good!K57*1000</f>
        <v>-11873</v>
      </c>
      <c r="L54" s="316">
        <f>L2+L4+L5+L9+L12-EBITDA_good!L57*1000</f>
        <v>-35438.000000000015</v>
      </c>
      <c r="M54" s="316">
        <f>M2+M4+M5+M9+M12-EBITDA_good!M57*1000</f>
        <v>-17917.999999999993</v>
      </c>
      <c r="N54" s="316">
        <f>N2+N4+N5+N9+N12-EBITDA_good!N57*1000</f>
        <v>3145</v>
      </c>
      <c r="O54" s="316">
        <f>O2+O4+O5+O9+O12-EBITDA_good!O57*1000</f>
        <v>9467</v>
      </c>
      <c r="P54" s="316">
        <f>P2+P4+P5+P9+P12-EBITDA_good!P57*1000</f>
        <v>19667.999999999985</v>
      </c>
      <c r="Q54" s="316">
        <f>Q2+Q4+Q5+Q9+Q12-EBITDA_good!Q57*1000</f>
        <v>-61193.000000000015</v>
      </c>
      <c r="R54" s="316">
        <f>R2+R4+R5+R9+R12-EBITDA_good!R57*1000</f>
        <v>5579</v>
      </c>
      <c r="S54" s="316">
        <f>S2+S4+S5+S9+S12-EBITDA_good!S57*1000</f>
        <v>370.00000000001455</v>
      </c>
    </row>
    <row r="56" spans="1:36" x14ac:dyDescent="0.25">
      <c r="A56" t="s">
        <v>387</v>
      </c>
      <c r="G56" s="13">
        <f>G5*2/SUM(BS_good!F29:G31,BS_good!F34:G35)*4</f>
        <v>8.6968458531091281E-2</v>
      </c>
      <c r="H56" s="13">
        <f>H5*2/SUM(BS_good!G29:H31,BS_good!G34:H35)*4</f>
        <v>7.8536878779784269E-2</v>
      </c>
      <c r="I56" s="13">
        <f>I5*2/SUM(BS_good!H29:I31,BS_good!H34:I35)*4</f>
        <v>8.4503311709976853E-2</v>
      </c>
      <c r="J56" s="13">
        <f>J5*2/SUM(BS_good!I29:J31,BS_good!I34:J35)*4</f>
        <v>0.10215408328367011</v>
      </c>
      <c r="K56" s="13">
        <f>K5*2/SUM(BS_good!J29:K31,BS_good!J34:K35)*4</f>
        <v>0.1014430632947564</v>
      </c>
      <c r="L56" s="13">
        <f>L5*2/SUM(BS_good!K29:L31,BS_good!K34:L35)*4</f>
        <v>0.10315769144107896</v>
      </c>
      <c r="M56" s="13">
        <f>M5*2/SUM(BS_good!L29:M31,BS_good!L34:M35)*4</f>
        <v>9.7962658720392698E-2</v>
      </c>
      <c r="N56" s="13">
        <f>N5*2/SUM(BS_good!M29:N31,BS_good!M34:N35)*4</f>
        <v>9.7727277668703927E-2</v>
      </c>
      <c r="O56" s="13">
        <f>O5*2/SUM(BS_good!N29:O31,BS_good!N34:O35)*4</f>
        <v>0.14103418233997847</v>
      </c>
      <c r="P56" s="13">
        <f>P5*2/SUM(BS_good!O29:P31,BS_good!O34:P35)*4</f>
        <v>0.1178298241463607</v>
      </c>
      <c r="Q56" s="13">
        <f>Q5*2/SUM(BS_good!P29:Q31,BS_good!P34:Q35)*4</f>
        <v>0.14828041561185512</v>
      </c>
      <c r="R56" s="13">
        <f>R5*2/SUM(BS_good!Q29:R31,BS_good!Q34:R35)*4</f>
        <v>0.11870667234311194</v>
      </c>
      <c r="S56" s="13">
        <f>S5*2/SUM(BS_good!R29:S31,BS_good!R34:S35)*4</f>
        <v>0.11368921622640416</v>
      </c>
      <c r="T56" s="13">
        <f>($T$41*0.0875+(SUM(BS_good!S29:T31,BS_good!S34:T35)/2-$T$41)*$S$56)/SUM(BS_good!S29:T31,BS_good!S34:T35)*2</f>
        <v>9.1467442947508609E-2</v>
      </c>
      <c r="U56" s="13">
        <f>($T$41*0.0875+(SUM(BS_good!T29:U31,BS_good!T34:U35)/2-$T$41)*$S$56)/SUM(BS_good!T29:U31,BS_good!T34:U35)*2</f>
        <v>8.9905222681859645E-2</v>
      </c>
      <c r="V56" s="13">
        <f>($T$41*0.0875+(SUM(BS_good!U29:V31,BS_good!U34:V35)/2-$T$41)*$S$56)/SUM(BS_good!U29:V31,BS_good!U34:V35)*2</f>
        <v>9.3604961588324639E-2</v>
      </c>
      <c r="W56" s="13">
        <f>($T$41*0.0875+(SUM(BS_good!V29:W31,BS_good!V34:W35)/2-$T$41)*$S$56)/SUM(BS_good!V29:W31,BS_good!V34:W35)*2</f>
        <v>9.3604961588324639E-2</v>
      </c>
      <c r="X56" s="13">
        <f>($T$41*0.0875+(SUM(BS_good!W29:X31,BS_good!W34:X35)/2-$T$41)*$S$56)/SUM(BS_good!W29:X31,BS_good!W34:X35)*2</f>
        <v>8.9905222681859645E-2</v>
      </c>
      <c r="Y56" s="13">
        <f>($T$41*0.0875+(SUM(BS_good!X29:Y31,BS_good!X34:Y35)/2-$T$41)*$S$56)/SUM(BS_good!X29:Y31,BS_good!X34:Y35)*2</f>
        <v>8.9905222681859645E-2</v>
      </c>
      <c r="Z56" s="13">
        <f>($T$41*0.0875+(SUM(BS_good!Y29:Z31,BS_good!Y34:Z35)/2-$T$41)*$S$56)/SUM(BS_good!Y29:Z31,BS_good!Y34:Z35)*2</f>
        <v>9.687449627941247E-2</v>
      </c>
      <c r="AA56" s="13">
        <f>($T$41*0.0875+(SUM(BS_good!Z29:AA31,BS_good!Z34:AA35)/2-$T$41)*$S$56)/SUM(BS_good!Z29:AA31,BS_good!Z34:AA35)*2</f>
        <v>9.7902471861115822E-2</v>
      </c>
      <c r="AB56" s="13">
        <f>($T$41*0.0875+(SUM(BS_good!AA29:AB31,BS_good!AA34:AB35)/2-$T$41)*$S$56)/SUM(BS_good!AA29:AB31,BS_good!AA34:AB35)*2</f>
        <v>9.1911105522258049E-2</v>
      </c>
      <c r="AC56" s="13">
        <f>($T$41*0.0875+(SUM(BS_good!AB29:AC31,BS_good!AB34:AC35)/2-$T$41)*$S$56)/SUM(BS_good!AB29:AC31,BS_good!AB34:AC35)*2</f>
        <v>8.9905222681859645E-2</v>
      </c>
    </row>
    <row r="57" spans="1:36" x14ac:dyDescent="0.25">
      <c r="A57" t="s">
        <v>388</v>
      </c>
      <c r="G57" s="13">
        <f>G4/SUM(BS_good!F15:F18)*4</f>
        <v>8.8787309326696803E-2</v>
      </c>
      <c r="H57" s="13">
        <f>H4/SUM(BS_good!G15:G18)*4</f>
        <v>7.139797529960118E-2</v>
      </c>
      <c r="I57" s="13">
        <f>I4/SUM(BS_good!H15:H18)*4</f>
        <v>8.7011649100562638E-2</v>
      </c>
      <c r="J57" s="13">
        <f>J4/SUM(BS_good!I15:I18)*4</f>
        <v>8.2437213481855176E-2</v>
      </c>
      <c r="K57" s="13">
        <f>K4/SUM(BS_good!J15:J18)*4</f>
        <v>7.8117630251200429E-2</v>
      </c>
      <c r="L57" s="13">
        <f>L4/SUM(BS_good!K15:K18)*4</f>
        <v>7.0456379510024272E-2</v>
      </c>
      <c r="M57" s="13">
        <f>M4/SUM(BS_good!L15:L18)*4</f>
        <v>7.0346565847511033E-2</v>
      </c>
      <c r="N57" s="13">
        <f>N4/SUM(BS_good!M15:M18)*4</f>
        <v>8.1373621484687811E-2</v>
      </c>
      <c r="O57" s="13">
        <f>O4/SUM(BS_good!N15:N18)*4</f>
        <v>8.2050205206276386E-2</v>
      </c>
      <c r="P57" s="13">
        <f>P4/SUM(BS_good!O15:O18)*4</f>
        <v>8.1418543259967238E-2</v>
      </c>
      <c r="Q57" s="13">
        <f>Q4/SUM(BS_good!P15:P18)*4</f>
        <v>7.9063164419443208E-2</v>
      </c>
      <c r="R57" s="13">
        <f>R4/SUM(BS_good!Q15:Q18)*4</f>
        <v>7.3951938443642257E-2</v>
      </c>
      <c r="S57" s="13">
        <f>S4/SUM(BS_good!R15:R18)*4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 x14ac:dyDescent="0.25">
      <c r="A58" t="s">
        <v>394</v>
      </c>
      <c r="F58" s="362">
        <f t="shared" ref="F58:M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ref="N58:T58" si="12">N2+N28</f>
        <v>25680</v>
      </c>
      <c r="O58" s="362">
        <f t="shared" si="12"/>
        <v>116925</v>
      </c>
      <c r="P58" s="362">
        <f t="shared" si="12"/>
        <v>96731</v>
      </c>
      <c r="Q58" s="362">
        <f t="shared" si="12"/>
        <v>-10483</v>
      </c>
      <c r="R58" s="362">
        <f t="shared" si="12"/>
        <v>63873</v>
      </c>
      <c r="S58" s="362">
        <f t="shared" si="12"/>
        <v>101002</v>
      </c>
      <c r="T58" s="362">
        <f t="shared" si="12"/>
        <v>10279.499978345624</v>
      </c>
      <c r="U58" s="362">
        <f t="shared" ref="U58:AC58" si="13">U2+U28</f>
        <v>7088.8744658491687</v>
      </c>
      <c r="V58" s="362">
        <f t="shared" si="13"/>
        <v>23197.060034835889</v>
      </c>
      <c r="W58" s="362">
        <f t="shared" si="13"/>
        <v>96382.875791599072</v>
      </c>
      <c r="X58" s="362">
        <f t="shared" si="13"/>
        <v>14942.381104176355</v>
      </c>
      <c r="Y58" s="362">
        <f t="shared" si="13"/>
        <v>19684.948288991542</v>
      </c>
      <c r="Z58" s="362">
        <f t="shared" si="13"/>
        <v>50300.032215696963</v>
      </c>
      <c r="AA58" s="362">
        <f t="shared" si="13"/>
        <v>150964.39796978922</v>
      </c>
      <c r="AB58" s="362">
        <f t="shared" si="13"/>
        <v>42444.773948186084</v>
      </c>
      <c r="AC58" s="362">
        <f t="shared" si="13"/>
        <v>47997.049592075986</v>
      </c>
    </row>
    <row r="59" spans="1:36" x14ac:dyDescent="0.25">
      <c r="Q59" s="316">
        <f>SUM(N58:Q58)</f>
        <v>228853</v>
      </c>
      <c r="U59" s="316">
        <f>SUM(R58:U58)</f>
        <v>182243.37444419478</v>
      </c>
      <c r="Y59" s="316">
        <f>SUM(V58:Y58)</f>
        <v>154207.26521960288</v>
      </c>
      <c r="AC59" s="316">
        <f>SUM(Z58:AC58)</f>
        <v>291706.25372574828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7"/>
  <sheetViews>
    <sheetView workbookViewId="0">
      <pane xSplit="1" ySplit="1" topLeftCell="P29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Z34" sqref="Z34:AC36"/>
    </sheetView>
  </sheetViews>
  <sheetFormatPr defaultRowHeight="13.2" outlineLevelCol="1" x14ac:dyDescent="0.25"/>
  <cols>
    <col min="1" max="1" width="55.88671875" bestFit="1" customWidth="1"/>
    <col min="2" max="3" width="8.88671875" customWidth="1" outlineLevel="1"/>
    <col min="4" max="5" width="10.109375" customWidth="1" outlineLevel="1"/>
    <col min="6" max="19" width="10.109375" bestFit="1" customWidth="1"/>
    <col min="20" max="20" width="9.109375" bestFit="1" customWidth="1"/>
  </cols>
  <sheetData>
    <row r="1" spans="1:29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30" t="s">
        <v>284</v>
      </c>
    </row>
    <row r="3" spans="1:29" x14ac:dyDescent="0.25">
      <c r="A3" s="30" t="s">
        <v>285</v>
      </c>
    </row>
    <row r="4" spans="1:29" x14ac:dyDescent="0.25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>CF_good!T52</f>
        <v>518906.46742740186</v>
      </c>
      <c r="U4" s="357">
        <f>CF_good!U52</f>
        <v>592964.99581424601</v>
      </c>
      <c r="V4" s="357">
        <f>CF_good!V52</f>
        <v>128640.81586328405</v>
      </c>
      <c r="W4" s="357">
        <f>CF_good!W52</f>
        <v>108602.32332291926</v>
      </c>
      <c r="X4" s="357">
        <f>CF_good!X52</f>
        <v>269894.17690526496</v>
      </c>
      <c r="Y4" s="357">
        <f>CF_good!Y52</f>
        <v>328985.89279793034</v>
      </c>
      <c r="Z4" s="357">
        <f>CF_good!Z52</f>
        <v>205397.21138674166</v>
      </c>
      <c r="AA4" s="357">
        <f>CF_good!AA52</f>
        <v>148668.16695791169</v>
      </c>
      <c r="AB4" s="357">
        <f>CF_good!AB52</f>
        <v>376860.81308571709</v>
      </c>
      <c r="AC4" s="357">
        <f>CF_good!AC52</f>
        <v>643356.14675933507</v>
      </c>
    </row>
    <row r="5" spans="1:29" x14ac:dyDescent="0.25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 x14ac:dyDescent="0.25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 x14ac:dyDescent="0.25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 x14ac:dyDescent="0.25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 x14ac:dyDescent="0.25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>'bio &amp; inventory'!Q8</f>
        <v>302390.01853526547</v>
      </c>
      <c r="U9" s="360">
        <f>'bio &amp; inventory'!R8</f>
        <v>196660.77917948904</v>
      </c>
      <c r="V9" s="360">
        <f>'bio &amp; inventory'!S8</f>
        <v>433597.34032186982</v>
      </c>
      <c r="W9" s="360">
        <f>'bio &amp; inventory'!T8</f>
        <v>462179.26239351835</v>
      </c>
      <c r="X9" s="360">
        <f>'bio &amp; inventory'!U8</f>
        <v>382859.39557947387</v>
      </c>
      <c r="Y9" s="360">
        <f>'bio &amp; inventory'!V8</f>
        <v>303775.49256430438</v>
      </c>
      <c r="Z9" s="360">
        <f>'bio &amp; inventory'!W8</f>
        <v>617495.25951159711</v>
      </c>
      <c r="AA9" s="360">
        <f>'bio &amp; inventory'!X8</f>
        <v>662945.77259500173</v>
      </c>
      <c r="AB9" s="360">
        <f>'bio &amp; inventory'!Y8</f>
        <v>513953.12910830259</v>
      </c>
      <c r="AC9" s="360">
        <f>'bio &amp; inventory'!Z8</f>
        <v>303775.49256430438</v>
      </c>
    </row>
    <row r="10" spans="1:29" x14ac:dyDescent="0.25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>'bio &amp; inventory'!Q2</f>
        <v>27848.039015678351</v>
      </c>
      <c r="U10" s="360">
        <f>'bio &amp; inventory'!R2</f>
        <v>29170.634398376475</v>
      </c>
      <c r="V10" s="360">
        <f>'bio &amp; inventory'!S2</f>
        <v>238187.94869763122</v>
      </c>
      <c r="W10" s="360">
        <f>'bio &amp; inventory'!T2</f>
        <v>108667.98597583915</v>
      </c>
      <c r="X10" s="360">
        <f>'bio &amp; inventory'!U2</f>
        <v>30370.511887681812</v>
      </c>
      <c r="Y10" s="360">
        <f>'bio &amp; inventory'!V2</f>
        <v>44602.359571032888</v>
      </c>
      <c r="Z10" s="360">
        <f>'bio &amp; inventory'!W2</f>
        <v>364193.12614914397</v>
      </c>
      <c r="AA10" s="360">
        <f>'bio &amp; inventory'!X2</f>
        <v>166155.06259349966</v>
      </c>
      <c r="AB10" s="360">
        <f>'bio &amp; inventory'!Y2</f>
        <v>46436.991155944983</v>
      </c>
      <c r="AC10" s="360">
        <f>'bio &amp; inventory'!Z2</f>
        <v>44602.359571032888</v>
      </c>
    </row>
    <row r="11" spans="1:29" x14ac:dyDescent="0.25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 x14ac:dyDescent="0.25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 x14ac:dyDescent="0.25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1148021.7113642665</v>
      </c>
      <c r="W13" s="320">
        <f t="shared" si="5"/>
        <v>1032937.1125873385</v>
      </c>
      <c r="X13" s="320">
        <f t="shared" si="5"/>
        <v>1032295.2154166593</v>
      </c>
      <c r="Y13" s="320">
        <f t="shared" si="5"/>
        <v>1021248.8978182127</v>
      </c>
      <c r="Z13" s="320">
        <f t="shared" si="5"/>
        <v>1531764.6087465854</v>
      </c>
      <c r="AA13" s="320">
        <f t="shared" si="5"/>
        <v>1339909.8769064774</v>
      </c>
      <c r="AB13" s="320">
        <f t="shared" si="5"/>
        <v>1289994.152977447</v>
      </c>
      <c r="AC13" s="320">
        <f t="shared" si="5"/>
        <v>1325783.9873798215</v>
      </c>
    </row>
    <row r="14" spans="1:29" x14ac:dyDescent="0.25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 x14ac:dyDescent="0.25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>S15-CF_good!T31-CF_good!T4</f>
        <v>539048.97499999998</v>
      </c>
      <c r="U15" s="357">
        <f>T15-CF_good!U31-CF_good!U4</f>
        <v>556098.63171875</v>
      </c>
      <c r="V15" s="357">
        <f>U15-CF_good!V31-CF_good!V4</f>
        <v>572828.60737402341</v>
      </c>
      <c r="W15" s="357">
        <f>V15-CF_good!W31-CF_good!W4</f>
        <v>585307.39598576049</v>
      </c>
      <c r="X15" s="357">
        <f>W15-CF_good!X31-CF_good!X4</f>
        <v>597552.20731102745</v>
      </c>
      <c r="Y15" s="357">
        <f>X15-CF_good!Y31-CF_good!Y4</f>
        <v>609567.42842394568</v>
      </c>
      <c r="Z15" s="357">
        <f>Y15-CF_good!Z31-CF_good!Z4</f>
        <v>601357.36414099671</v>
      </c>
      <c r="AA15" s="357">
        <f>Z15-CF_good!AA31-CF_good!AA4</f>
        <v>593301.23856335296</v>
      </c>
      <c r="AB15" s="357">
        <f>AA15-CF_good!AB31-CF_good!AB4</f>
        <v>585396.16534029006</v>
      </c>
      <c r="AC15" s="357">
        <f>AB15-CF_good!AC31-CF_good!AC4</f>
        <v>577639.3122401596</v>
      </c>
    </row>
    <row r="16" spans="1:29" x14ac:dyDescent="0.25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 x14ac:dyDescent="0.25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>S17-CF_good!T35</f>
        <v>120124</v>
      </c>
      <c r="U17" s="357">
        <f>T17-CF_good!U35</f>
        <v>120124</v>
      </c>
      <c r="V17" s="357">
        <f>U17-CF_good!V35</f>
        <v>330124</v>
      </c>
      <c r="W17" s="357">
        <f>V17-CF_good!W35</f>
        <v>330124</v>
      </c>
      <c r="X17" s="357">
        <f>W17-CF_good!X35</f>
        <v>330124</v>
      </c>
      <c r="Y17" s="357">
        <f>X17-CF_good!Y35</f>
        <v>330124</v>
      </c>
      <c r="Z17" s="357">
        <f>Y17-CF_good!Z35</f>
        <v>330124</v>
      </c>
      <c r="AA17" s="357">
        <f>Z17-CF_good!AA35</f>
        <v>330124</v>
      </c>
      <c r="AB17" s="357">
        <f>AA17-CF_good!AB35</f>
        <v>330124</v>
      </c>
      <c r="AC17" s="357">
        <f>AB17-CF_good!AC35</f>
        <v>330124</v>
      </c>
    </row>
    <row r="18" spans="1:29" x14ac:dyDescent="0.25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 x14ac:dyDescent="0.25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 x14ac:dyDescent="0.25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0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 x14ac:dyDescent="0.25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ref="T21:AC21" si="9">AVERAGE(N21:S21)</f>
        <v>0</v>
      </c>
      <c r="U21" s="357">
        <f t="shared" si="9"/>
        <v>0</v>
      </c>
      <c r="V21" s="357">
        <f t="shared" si="9"/>
        <v>0</v>
      </c>
      <c r="W21" s="357">
        <f t="shared" si="9"/>
        <v>0</v>
      </c>
      <c r="X21" s="357">
        <f t="shared" si="9"/>
        <v>0</v>
      </c>
      <c r="Y21" s="357">
        <f t="shared" si="9"/>
        <v>0</v>
      </c>
      <c r="Z21" s="357">
        <f t="shared" si="9"/>
        <v>0</v>
      </c>
      <c r="AA21" s="357">
        <f t="shared" si="9"/>
        <v>0</v>
      </c>
      <c r="AB21" s="357">
        <f t="shared" si="9"/>
        <v>0</v>
      </c>
      <c r="AC21" s="357">
        <f t="shared" si="9"/>
        <v>0</v>
      </c>
    </row>
    <row r="22" spans="1:29" x14ac:dyDescent="0.25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ref="T22:AC22" si="10">AVERAGE(N22:S22)</f>
        <v>16160.333333333334</v>
      </c>
      <c r="U22" s="357">
        <f t="shared" si="10"/>
        <v>17006.888888888887</v>
      </c>
      <c r="V22" s="357">
        <f t="shared" si="10"/>
        <v>15380.703703703703</v>
      </c>
      <c r="W22" s="357">
        <f t="shared" si="10"/>
        <v>15919.487654320988</v>
      </c>
      <c r="X22" s="357">
        <f t="shared" si="10"/>
        <v>16731.235596707818</v>
      </c>
      <c r="Y22" s="357">
        <f t="shared" si="10"/>
        <v>16385.941529492455</v>
      </c>
      <c r="Z22" s="357">
        <f t="shared" si="10"/>
        <v>16264.098451074531</v>
      </c>
      <c r="AA22" s="357">
        <f t="shared" si="10"/>
        <v>16281.392637364732</v>
      </c>
      <c r="AB22" s="357">
        <f t="shared" si="10"/>
        <v>16160.476595444037</v>
      </c>
      <c r="AC22" s="357">
        <f t="shared" si="10"/>
        <v>16290.438744067427</v>
      </c>
    </row>
    <row r="23" spans="1:29" ht="13.8" thickBot="1" x14ac:dyDescent="0.3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11">SUM(U15:U22)</f>
        <v>750554.49282986112</v>
      </c>
      <c r="V23" s="320">
        <f t="shared" si="11"/>
        <v>975463.77867031971</v>
      </c>
      <c r="W23" s="320">
        <f t="shared" si="11"/>
        <v>988867.09583143948</v>
      </c>
      <c r="X23" s="320">
        <f t="shared" si="11"/>
        <v>1001554.8571309863</v>
      </c>
      <c r="Y23" s="320">
        <f t="shared" si="11"/>
        <v>1013160.0198805644</v>
      </c>
      <c r="Z23" s="320">
        <f t="shared" si="11"/>
        <v>1005044.5541737186</v>
      </c>
      <c r="AA23" s="320">
        <f t="shared" si="11"/>
        <v>996956.76582375052</v>
      </c>
      <c r="AB23" s="320">
        <f t="shared" si="11"/>
        <v>988918.30362556875</v>
      </c>
      <c r="AC23" s="320">
        <f t="shared" si="11"/>
        <v>981309.27835693548</v>
      </c>
    </row>
    <row r="24" spans="1:29" ht="13.8" thickBot="1" x14ac:dyDescent="0.3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2">SUM(U13,U23)</f>
        <v>1903709.7077775283</v>
      </c>
      <c r="V24" s="323">
        <f t="shared" si="12"/>
        <v>2123485.4900345863</v>
      </c>
      <c r="W24" s="323">
        <f t="shared" si="12"/>
        <v>2021804.2084187781</v>
      </c>
      <c r="X24" s="323">
        <f t="shared" si="12"/>
        <v>2033850.0725476455</v>
      </c>
      <c r="Y24" s="323">
        <f t="shared" si="12"/>
        <v>2034408.9176987773</v>
      </c>
      <c r="Z24" s="323">
        <f t="shared" si="12"/>
        <v>2536809.1629203041</v>
      </c>
      <c r="AA24" s="323">
        <f t="shared" si="12"/>
        <v>2336866.6427302277</v>
      </c>
      <c r="AB24" s="323">
        <f t="shared" si="12"/>
        <v>2278912.4566030158</v>
      </c>
      <c r="AC24" s="324">
        <f t="shared" si="12"/>
        <v>2307093.2657367568</v>
      </c>
    </row>
    <row r="25" spans="1:29" x14ac:dyDescent="0.25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 x14ac:dyDescent="0.25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 x14ac:dyDescent="0.25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3">AVERAGE(O27:T27)</f>
        <v>41690.555555555555</v>
      </c>
      <c r="V27" s="357">
        <f t="shared" si="13"/>
        <v>42939.648148148153</v>
      </c>
      <c r="W27" s="357">
        <f t="shared" si="13"/>
        <v>42658.589506172844</v>
      </c>
      <c r="X27" s="357">
        <f t="shared" si="13"/>
        <v>42783.354423868317</v>
      </c>
      <c r="Y27" s="357">
        <f t="shared" si="13"/>
        <v>42180.413494513035</v>
      </c>
      <c r="Z27" s="357">
        <f t="shared" si="13"/>
        <v>42262.982410265213</v>
      </c>
      <c r="AA27" s="357">
        <f t="shared" si="13"/>
        <v>42419.257256420518</v>
      </c>
      <c r="AB27" s="357">
        <f t="shared" si="13"/>
        <v>42540.707539898016</v>
      </c>
      <c r="AC27" s="357">
        <f t="shared" si="13"/>
        <v>42474.217438522996</v>
      </c>
    </row>
    <row r="28" spans="1:29" x14ac:dyDescent="0.25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4">AVERAGE(N28:S28)</f>
        <v>94098.666666666672</v>
      </c>
      <c r="U28" s="357">
        <f t="shared" si="14"/>
        <v>97225.944444444438</v>
      </c>
      <c r="V28" s="357">
        <f t="shared" si="14"/>
        <v>97360.435185185182</v>
      </c>
      <c r="W28" s="357">
        <f t="shared" si="14"/>
        <v>96507.34104938271</v>
      </c>
      <c r="X28" s="357">
        <f t="shared" si="14"/>
        <v>99767.731224279836</v>
      </c>
      <c r="Y28" s="357">
        <f t="shared" si="14"/>
        <v>99242.353094993145</v>
      </c>
      <c r="Z28" s="357">
        <f t="shared" si="14"/>
        <v>97367.078610825338</v>
      </c>
      <c r="AA28" s="357">
        <f t="shared" si="14"/>
        <v>97911.813934851773</v>
      </c>
      <c r="AB28" s="357">
        <f t="shared" si="14"/>
        <v>98026.12551658634</v>
      </c>
      <c r="AC28" s="357">
        <f t="shared" si="14"/>
        <v>98137.0739051532</v>
      </c>
    </row>
    <row r="29" spans="1:29" x14ac:dyDescent="0.25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200000</v>
      </c>
      <c r="W29" s="360">
        <v>0</v>
      </c>
      <c r="X29" s="360">
        <v>0</v>
      </c>
      <c r="Y29" s="360">
        <f>X29</f>
        <v>0</v>
      </c>
      <c r="Z29" s="360">
        <v>450000</v>
      </c>
      <c r="AA29" s="360">
        <v>100000</v>
      </c>
      <c r="AB29" s="360">
        <v>0</v>
      </c>
      <c r="AC29" s="360">
        <v>0</v>
      </c>
    </row>
    <row r="30" spans="1:29" x14ac:dyDescent="0.25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 x14ac:dyDescent="0.25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 x14ac:dyDescent="0.25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5">SUM(U27:U31)</f>
        <v>138916.5</v>
      </c>
      <c r="V32" s="320">
        <f t="shared" si="15"/>
        <v>340300.08333333337</v>
      </c>
      <c r="W32" s="320">
        <f t="shared" si="15"/>
        <v>139165.93055555556</v>
      </c>
      <c r="X32" s="320">
        <f t="shared" si="15"/>
        <v>142551.08564814815</v>
      </c>
      <c r="Y32" s="320">
        <f t="shared" si="15"/>
        <v>141422.76658950618</v>
      </c>
      <c r="Z32" s="320">
        <f t="shared" si="15"/>
        <v>589630.06102109049</v>
      </c>
      <c r="AA32" s="320">
        <f t="shared" si="15"/>
        <v>240331.07119127229</v>
      </c>
      <c r="AB32" s="320">
        <f t="shared" si="15"/>
        <v>140566.83305648435</v>
      </c>
      <c r="AC32" s="320">
        <f t="shared" si="15"/>
        <v>140611.29134367619</v>
      </c>
    </row>
    <row r="33" spans="1:29" x14ac:dyDescent="0.25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 x14ac:dyDescent="0.25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>S34+CF_good!T41</f>
        <v>539177</v>
      </c>
      <c r="U34" s="357">
        <f>T34+CF_good!U41</f>
        <v>539177</v>
      </c>
      <c r="V34" s="357">
        <f>U34+CF_good!V41</f>
        <v>539177</v>
      </c>
      <c r="W34" s="357">
        <f>V34+CF_good!W41</f>
        <v>539177</v>
      </c>
      <c r="X34" s="357">
        <f>W34+CF_good!X41</f>
        <v>539177</v>
      </c>
      <c r="Y34" s="357">
        <f>X34+CF_good!Y41</f>
        <v>539177</v>
      </c>
      <c r="Z34" s="357">
        <f>Y34+CF_good!Z41</f>
        <v>539177</v>
      </c>
      <c r="AA34" s="357">
        <f>Z34+CF_good!AA41</f>
        <v>539177</v>
      </c>
      <c r="AB34" s="357">
        <f>AA34+CF_good!AB41</f>
        <v>539177</v>
      </c>
      <c r="AC34" s="357">
        <f>AB34+CF_good!AC41</f>
        <v>539177</v>
      </c>
    </row>
    <row r="35" spans="1:29" x14ac:dyDescent="0.25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6">T35</f>
        <v>3679</v>
      </c>
      <c r="V35" s="357">
        <f t="shared" si="16"/>
        <v>3679</v>
      </c>
      <c r="W35" s="357">
        <f t="shared" si="16"/>
        <v>3679</v>
      </c>
      <c r="X35" s="357">
        <f t="shared" si="16"/>
        <v>3679</v>
      </c>
      <c r="Y35" s="357">
        <f t="shared" si="16"/>
        <v>3679</v>
      </c>
      <c r="Z35" s="357">
        <f t="shared" si="16"/>
        <v>3679</v>
      </c>
      <c r="AA35" s="357">
        <f t="shared" si="16"/>
        <v>3679</v>
      </c>
      <c r="AB35" s="357">
        <f t="shared" si="16"/>
        <v>3679</v>
      </c>
      <c r="AC35" s="357">
        <f t="shared" si="16"/>
        <v>3679</v>
      </c>
    </row>
    <row r="36" spans="1:29" x14ac:dyDescent="0.25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6" si="17">AVERAGE(O36:T36)</f>
        <v>18231.861111111113</v>
      </c>
      <c r="V36" s="357">
        <f t="shared" si="17"/>
        <v>18502.837962962964</v>
      </c>
      <c r="W36" s="357">
        <f t="shared" si="17"/>
        <v>18404.144290123459</v>
      </c>
      <c r="X36" s="357">
        <f t="shared" si="17"/>
        <v>18614.335005144032</v>
      </c>
      <c r="Y36" s="357">
        <f t="shared" si="17"/>
        <v>18517.557506001373</v>
      </c>
      <c r="Z36" s="357">
        <f t="shared" si="17"/>
        <v>18454.317090334935</v>
      </c>
      <c r="AA36" s="357">
        <f t="shared" si="17"/>
        <v>18454.175494279647</v>
      </c>
      <c r="AB36" s="357">
        <f t="shared" si="17"/>
        <v>18491.227891474398</v>
      </c>
      <c r="AC36" s="357">
        <f t="shared" si="17"/>
        <v>18489.292879559642</v>
      </c>
    </row>
    <row r="37" spans="1:29" x14ac:dyDescent="0.25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ref="U37:AC37" si="18">AVERAGE(O37:T37)</f>
        <v>28725.666666666668</v>
      </c>
      <c r="V37" s="357">
        <f t="shared" si="18"/>
        <v>33297.444444444445</v>
      </c>
      <c r="W37" s="357">
        <f t="shared" si="18"/>
        <v>33539.851851851847</v>
      </c>
      <c r="X37" s="357">
        <f t="shared" si="18"/>
        <v>32840.493827160499</v>
      </c>
      <c r="Y37" s="357">
        <f t="shared" si="18"/>
        <v>31929.576131687249</v>
      </c>
      <c r="Z37" s="357">
        <f t="shared" si="18"/>
        <v>30865.005486968454</v>
      </c>
      <c r="AA37" s="357">
        <f t="shared" si="18"/>
        <v>31866.339734796522</v>
      </c>
      <c r="AB37" s="357">
        <f t="shared" si="18"/>
        <v>32389.785246151503</v>
      </c>
      <c r="AC37" s="357">
        <f t="shared" si="18"/>
        <v>32238.508713102678</v>
      </c>
    </row>
    <row r="38" spans="1:29" x14ac:dyDescent="0.25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9">SUM(U34:U37)</f>
        <v>589813.52777777775</v>
      </c>
      <c r="V38" s="320">
        <f t="shared" si="19"/>
        <v>594656.28240740742</v>
      </c>
      <c r="W38" s="320">
        <f t="shared" si="19"/>
        <v>594799.99614197528</v>
      </c>
      <c r="X38" s="320">
        <f t="shared" si="19"/>
        <v>594310.82883230445</v>
      </c>
      <c r="Y38" s="320">
        <f t="shared" si="19"/>
        <v>593303.13363768859</v>
      </c>
      <c r="Z38" s="320">
        <f t="shared" si="19"/>
        <v>592175.32257730339</v>
      </c>
      <c r="AA38" s="320">
        <f t="shared" si="19"/>
        <v>593176.51522907615</v>
      </c>
      <c r="AB38" s="320">
        <f t="shared" si="19"/>
        <v>593737.01313762588</v>
      </c>
      <c r="AC38" s="320">
        <f t="shared" si="19"/>
        <v>593583.80159266235</v>
      </c>
    </row>
    <row r="39" spans="1:29" x14ac:dyDescent="0.25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 x14ac:dyDescent="0.25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20">T40</f>
        <v>2131</v>
      </c>
      <c r="V40" s="357">
        <f t="shared" si="20"/>
        <v>2131</v>
      </c>
      <c r="W40" s="357">
        <f t="shared" si="20"/>
        <v>2131</v>
      </c>
      <c r="X40" s="357">
        <f t="shared" si="20"/>
        <v>2131</v>
      </c>
      <c r="Y40" s="357">
        <f t="shared" si="20"/>
        <v>2131</v>
      </c>
      <c r="Z40" s="357">
        <f t="shared" si="20"/>
        <v>2131</v>
      </c>
      <c r="AA40" s="357">
        <f t="shared" si="20"/>
        <v>2131</v>
      </c>
      <c r="AB40" s="357">
        <f t="shared" si="20"/>
        <v>2131</v>
      </c>
      <c r="AC40" s="357">
        <f t="shared" si="20"/>
        <v>2131</v>
      </c>
    </row>
    <row r="41" spans="1:29" x14ac:dyDescent="0.25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1" si="21">S41</f>
        <v>471796</v>
      </c>
      <c r="U41" s="357">
        <f t="shared" si="21"/>
        <v>471796</v>
      </c>
      <c r="V41" s="357">
        <f t="shared" si="21"/>
        <v>471796</v>
      </c>
      <c r="W41" s="357">
        <f t="shared" si="21"/>
        <v>471796</v>
      </c>
      <c r="X41" s="357">
        <f t="shared" si="21"/>
        <v>471796</v>
      </c>
      <c r="Y41" s="357">
        <f t="shared" si="21"/>
        <v>471796</v>
      </c>
      <c r="Z41" s="357">
        <f t="shared" si="21"/>
        <v>471796</v>
      </c>
      <c r="AA41" s="357">
        <f t="shared" si="21"/>
        <v>471796</v>
      </c>
      <c r="AB41" s="357">
        <f t="shared" si="21"/>
        <v>471796</v>
      </c>
      <c r="AC41" s="357">
        <f t="shared" si="21"/>
        <v>471796</v>
      </c>
    </row>
    <row r="42" spans="1:29" x14ac:dyDescent="0.25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ref="U42:AC42" si="22">T42</f>
        <v>39944</v>
      </c>
      <c r="V42" s="357">
        <f t="shared" si="22"/>
        <v>39944</v>
      </c>
      <c r="W42" s="357">
        <f t="shared" si="22"/>
        <v>39944</v>
      </c>
      <c r="X42" s="357">
        <f t="shared" si="22"/>
        <v>39944</v>
      </c>
      <c r="Y42" s="357">
        <f t="shared" si="22"/>
        <v>39944</v>
      </c>
      <c r="Z42" s="357">
        <f t="shared" si="22"/>
        <v>39944</v>
      </c>
      <c r="AA42" s="357">
        <f t="shared" si="22"/>
        <v>39944</v>
      </c>
      <c r="AB42" s="357">
        <f t="shared" si="22"/>
        <v>39944</v>
      </c>
      <c r="AC42" s="357">
        <f t="shared" si="22"/>
        <v>39944</v>
      </c>
    </row>
    <row r="43" spans="1:29" x14ac:dyDescent="0.25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3" si="23">S43</f>
        <v>7315</v>
      </c>
      <c r="U43" s="357">
        <f t="shared" si="23"/>
        <v>7315</v>
      </c>
      <c r="V43" s="357">
        <f t="shared" si="23"/>
        <v>7315</v>
      </c>
      <c r="W43" s="357">
        <f t="shared" si="23"/>
        <v>7315</v>
      </c>
      <c r="X43" s="357">
        <f t="shared" si="23"/>
        <v>7315</v>
      </c>
      <c r="Y43" s="357">
        <f t="shared" si="23"/>
        <v>7315</v>
      </c>
      <c r="Z43" s="357">
        <f t="shared" si="23"/>
        <v>7315</v>
      </c>
      <c r="AA43" s="357">
        <f t="shared" si="23"/>
        <v>7315</v>
      </c>
      <c r="AB43" s="357">
        <f t="shared" si="23"/>
        <v>7315</v>
      </c>
      <c r="AC43" s="357">
        <f t="shared" si="23"/>
        <v>7315</v>
      </c>
    </row>
    <row r="44" spans="1:29" x14ac:dyDescent="0.25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ref="T44:AC44" si="24">S44</f>
        <v>43815</v>
      </c>
      <c r="U44" s="357">
        <f t="shared" si="24"/>
        <v>43815</v>
      </c>
      <c r="V44" s="357">
        <f t="shared" si="24"/>
        <v>43815</v>
      </c>
      <c r="W44" s="357">
        <f t="shared" si="24"/>
        <v>43815</v>
      </c>
      <c r="X44" s="357">
        <f t="shared" si="24"/>
        <v>43815</v>
      </c>
      <c r="Y44" s="357">
        <f t="shared" si="24"/>
        <v>43815</v>
      </c>
      <c r="Z44" s="357">
        <f t="shared" si="24"/>
        <v>43815</v>
      </c>
      <c r="AA44" s="357">
        <f t="shared" si="24"/>
        <v>43815</v>
      </c>
      <c r="AB44" s="357">
        <f t="shared" si="24"/>
        <v>43815</v>
      </c>
      <c r="AC44" s="357">
        <f t="shared" si="24"/>
        <v>43815</v>
      </c>
    </row>
    <row r="45" spans="1:29" x14ac:dyDescent="0.25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ref="T45:AC45" si="25">S45</f>
        <v>-745002</v>
      </c>
      <c r="U45" s="357">
        <f t="shared" si="25"/>
        <v>-745002</v>
      </c>
      <c r="V45" s="357">
        <f t="shared" si="25"/>
        <v>-745002</v>
      </c>
      <c r="W45" s="357">
        <f t="shared" si="25"/>
        <v>-745002</v>
      </c>
      <c r="X45" s="357">
        <f t="shared" si="25"/>
        <v>-745002</v>
      </c>
      <c r="Y45" s="357">
        <f t="shared" si="25"/>
        <v>-745002</v>
      </c>
      <c r="Z45" s="357">
        <f t="shared" si="25"/>
        <v>-745002</v>
      </c>
      <c r="AA45" s="357">
        <f t="shared" si="25"/>
        <v>-745002</v>
      </c>
      <c r="AB45" s="357">
        <f t="shared" si="25"/>
        <v>-745002</v>
      </c>
      <c r="AC45" s="357">
        <f t="shared" si="25"/>
        <v>-745002</v>
      </c>
    </row>
    <row r="46" spans="1:29" x14ac:dyDescent="0.25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>S46+CF_good!T2+CF_good!T28+CF_good!T45</f>
        <v>1279046.4999783456</v>
      </c>
      <c r="U46" s="357">
        <f>T46+CF_good!U2+CF_good!U28+CF_good!U45</f>
        <v>1266214.3744441948</v>
      </c>
      <c r="V46" s="357">
        <f>U46+CF_good!V2+CF_good!V28+CF_good!V45</f>
        <v>1289411.4344790308</v>
      </c>
      <c r="W46" s="357">
        <f>V46+CF_good!W2+CF_good!W28+CF_good!W45</f>
        <v>1385794.3102706298</v>
      </c>
      <c r="X46" s="357">
        <f>W46+CF_good!X2+CF_good!X28+CF_good!X45</f>
        <v>1400736.6913748062</v>
      </c>
      <c r="Y46" s="357">
        <f>X46+CF_good!Y2+CF_good!Y28+CF_good!Y45</f>
        <v>1400500.6396637978</v>
      </c>
      <c r="Z46" s="357">
        <f>Y46+CF_good!Z2+CF_good!Z28+CF_good!Z45</f>
        <v>1450800.6718794948</v>
      </c>
      <c r="AA46" s="357">
        <f>Z46+CF_good!AA2+CF_good!AA28+CF_good!AA45</f>
        <v>1601765.0698492839</v>
      </c>
      <c r="AB46" s="357">
        <f>AA46+CF_good!AB2+CF_good!AB28+CF_good!AB45</f>
        <v>1644209.84379747</v>
      </c>
      <c r="AC46" s="357">
        <f>AB46+CF_good!AC2+CF_good!AC28+CF_good!AC45</f>
        <v>1672285.8933895461</v>
      </c>
    </row>
    <row r="47" spans="1:29" x14ac:dyDescent="0.25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>SUM(T40:T46)</f>
        <v>1099045.4999783456</v>
      </c>
      <c r="U47" s="320">
        <f t="shared" ref="U47:AC47" si="26">SUM(U40:U46)</f>
        <v>1086213.3744441948</v>
      </c>
      <c r="V47" s="320">
        <f t="shared" si="26"/>
        <v>1109410.4344790308</v>
      </c>
      <c r="W47" s="320">
        <f t="shared" si="26"/>
        <v>1205793.3102706298</v>
      </c>
      <c r="X47" s="320">
        <f t="shared" si="26"/>
        <v>1220735.6913748062</v>
      </c>
      <c r="Y47" s="320">
        <f t="shared" si="26"/>
        <v>1220499.6396637978</v>
      </c>
      <c r="Z47" s="320">
        <f t="shared" si="26"/>
        <v>1270799.6718794948</v>
      </c>
      <c r="AA47" s="320">
        <f t="shared" si="26"/>
        <v>1421764.0698492839</v>
      </c>
      <c r="AB47" s="320">
        <f t="shared" si="26"/>
        <v>1464208.84379747</v>
      </c>
      <c r="AC47" s="320">
        <f t="shared" si="26"/>
        <v>1492284.8933895461</v>
      </c>
    </row>
    <row r="48" spans="1:29" x14ac:dyDescent="0.25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>S48</f>
        <v>3206</v>
      </c>
      <c r="U48" s="357">
        <f t="shared" ref="U48:AC48" si="27">T48</f>
        <v>3206</v>
      </c>
      <c r="V48" s="357">
        <f t="shared" si="27"/>
        <v>3206</v>
      </c>
      <c r="W48" s="357">
        <f t="shared" si="27"/>
        <v>3206</v>
      </c>
      <c r="X48" s="357">
        <f t="shared" si="27"/>
        <v>3206</v>
      </c>
      <c r="Y48" s="357">
        <f t="shared" si="27"/>
        <v>3206</v>
      </c>
      <c r="Z48" s="357">
        <f t="shared" si="27"/>
        <v>3206</v>
      </c>
      <c r="AA48" s="357">
        <f t="shared" si="27"/>
        <v>3206</v>
      </c>
      <c r="AB48" s="357">
        <f t="shared" si="27"/>
        <v>3206</v>
      </c>
      <c r="AC48" s="357">
        <f t="shared" si="27"/>
        <v>3206</v>
      </c>
    </row>
    <row r="49" spans="1:29" ht="13.8" thickBot="1" x14ac:dyDescent="0.3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>T47+T48+CF_good!T45</f>
        <v>1102251.4999783456</v>
      </c>
      <c r="U49" s="357">
        <f t="shared" ref="U49:AC49" si="28">U47+U48</f>
        <v>1089419.3744441948</v>
      </c>
      <c r="V49" s="357">
        <f t="shared" si="28"/>
        <v>1112616.4344790308</v>
      </c>
      <c r="W49" s="357">
        <f t="shared" si="28"/>
        <v>1208999.3102706298</v>
      </c>
      <c r="X49" s="357">
        <f t="shared" si="28"/>
        <v>1223941.6913748062</v>
      </c>
      <c r="Y49" s="357">
        <f t="shared" si="28"/>
        <v>1223705.6396637978</v>
      </c>
      <c r="Z49" s="357">
        <f t="shared" si="28"/>
        <v>1274005.6718794948</v>
      </c>
      <c r="AA49" s="357">
        <f t="shared" si="28"/>
        <v>1424970.0698492839</v>
      </c>
      <c r="AB49" s="357">
        <f t="shared" si="28"/>
        <v>1467414.84379747</v>
      </c>
      <c r="AC49" s="357">
        <f t="shared" si="28"/>
        <v>1495490.8933895461</v>
      </c>
    </row>
    <row r="50" spans="1:29" ht="13.8" thickBot="1" x14ac:dyDescent="0.3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9">SUM(U49,U38,U32)</f>
        <v>1818149.4022219726</v>
      </c>
      <c r="V50" s="323">
        <f t="shared" si="29"/>
        <v>2047572.8002197715</v>
      </c>
      <c r="W50" s="323">
        <f t="shared" si="29"/>
        <v>1942965.2369681606</v>
      </c>
      <c r="X50" s="323">
        <f t="shared" si="29"/>
        <v>1960803.6058552589</v>
      </c>
      <c r="Y50" s="323">
        <f t="shared" si="29"/>
        <v>1958431.5398909925</v>
      </c>
      <c r="Z50" s="323">
        <f t="shared" si="29"/>
        <v>2455811.0554778888</v>
      </c>
      <c r="AA50" s="323">
        <f t="shared" si="29"/>
        <v>2258477.6562696323</v>
      </c>
      <c r="AB50" s="323">
        <f t="shared" si="29"/>
        <v>2201718.6899915803</v>
      </c>
      <c r="AC50" s="323">
        <f t="shared" si="29"/>
        <v>2229685.9863258847</v>
      </c>
    </row>
    <row r="51" spans="1:29" x14ac:dyDescent="0.25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30">U47</f>
        <v>1086213.3744441948</v>
      </c>
      <c r="V51" s="357">
        <f t="shared" si="30"/>
        <v>1109410.4344790308</v>
      </c>
      <c r="W51" s="357">
        <f t="shared" si="30"/>
        <v>1205793.3102706298</v>
      </c>
      <c r="X51" s="357">
        <f t="shared" si="30"/>
        <v>1220735.6913748062</v>
      </c>
      <c r="Y51" s="357">
        <f t="shared" si="30"/>
        <v>1220499.6396637978</v>
      </c>
      <c r="Z51" s="357">
        <f t="shared" si="30"/>
        <v>1270799.6718794948</v>
      </c>
      <c r="AA51" s="357">
        <f t="shared" si="30"/>
        <v>1421764.0698492839</v>
      </c>
      <c r="AB51" s="357">
        <f t="shared" si="30"/>
        <v>1464208.84379747</v>
      </c>
      <c r="AC51" s="357">
        <f t="shared" si="30"/>
        <v>1492284.8933895461</v>
      </c>
    </row>
    <row r="52" spans="1:29" x14ac:dyDescent="0.25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 x14ac:dyDescent="0.25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31">U51/U52*1000</f>
        <v>13.459687968128799</v>
      </c>
      <c r="V53" s="358">
        <f t="shared" si="31"/>
        <v>13.747131666754408</v>
      </c>
      <c r="W53" s="358">
        <f t="shared" si="31"/>
        <v>14.941448975072992</v>
      </c>
      <c r="X53" s="358">
        <f t="shared" si="31"/>
        <v>15.1266057701327</v>
      </c>
      <c r="Y53" s="358">
        <f t="shared" si="31"/>
        <v>15.12368076253358</v>
      </c>
      <c r="Z53" s="358">
        <f t="shared" si="31"/>
        <v>15.746967820434641</v>
      </c>
      <c r="AA53" s="358">
        <f t="shared" si="31"/>
        <v>17.617625776574705</v>
      </c>
      <c r="AB53" s="358">
        <f t="shared" si="31"/>
        <v>18.143575306069931</v>
      </c>
      <c r="AC53" s="358">
        <f t="shared" si="31"/>
        <v>18.491476442051084</v>
      </c>
    </row>
    <row r="54" spans="1:29" x14ac:dyDescent="0.25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 x14ac:dyDescent="0.25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32">U$51/U54*1000</f>
        <v>13.24459201500177</v>
      </c>
      <c r="V55" s="358">
        <f t="shared" si="32"/>
        <v>13.527442146787447</v>
      </c>
      <c r="W55" s="358">
        <f t="shared" si="32"/>
        <v>14.702673364820939</v>
      </c>
      <c r="X55" s="358">
        <f t="shared" si="32"/>
        <v>14.884871214814044</v>
      </c>
      <c r="Y55" s="358">
        <f t="shared" si="32"/>
        <v>14.881992951039811</v>
      </c>
      <c r="Z55" s="358">
        <f t="shared" si="32"/>
        <v>15.495319412223592</v>
      </c>
      <c r="AA55" s="358">
        <f t="shared" si="32"/>
        <v>17.336082845028244</v>
      </c>
      <c r="AB55" s="358">
        <f t="shared" si="32"/>
        <v>17.853627304836017</v>
      </c>
      <c r="AC55" s="358">
        <f t="shared" si="32"/>
        <v>18.195968718584748</v>
      </c>
    </row>
    <row r="57" spans="1:29" x14ac:dyDescent="0.25">
      <c r="T57" s="317">
        <f>T24-T50</f>
        <v>96652.833333333489</v>
      </c>
      <c r="U57" s="317">
        <f t="shared" ref="U57:AC57" si="33">U24-U50</f>
        <v>85560.305555555737</v>
      </c>
      <c r="V57" s="317">
        <f t="shared" si="33"/>
        <v>75912.689814814832</v>
      </c>
      <c r="W57" s="317">
        <f t="shared" si="33"/>
        <v>78838.971450617537</v>
      </c>
      <c r="X57" s="317">
        <f t="shared" si="33"/>
        <v>73046.466692386661</v>
      </c>
      <c r="Y57" s="317">
        <f t="shared" si="33"/>
        <v>75977.377807784826</v>
      </c>
      <c r="Z57" s="317">
        <f t="shared" si="33"/>
        <v>80998.107442415319</v>
      </c>
      <c r="AA57" s="317">
        <f t="shared" si="33"/>
        <v>78388.986460595392</v>
      </c>
      <c r="AB57" s="317">
        <f t="shared" si="33"/>
        <v>77193.766611435451</v>
      </c>
      <c r="AC57" s="317">
        <f t="shared" si="33"/>
        <v>77407.279410872143</v>
      </c>
    </row>
  </sheetData>
  <conditionalFormatting sqref="T4:AC4">
    <cfRule type="expression" dxfId="3" priority="1" stopIfTrue="1">
      <formula>T$4&lt;AVERAGE($N$4:$S$4)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70"/>
  <sheetViews>
    <sheetView zoomScaleNormal="100" workbookViewId="0">
      <pane xSplit="1" ySplit="1" topLeftCell="L25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AC43" sqref="AC43"/>
    </sheetView>
  </sheetViews>
  <sheetFormatPr defaultRowHeight="13.2" outlineLevelRow="1" x14ac:dyDescent="0.25"/>
  <cols>
    <col min="1" max="1" width="40" bestFit="1" customWidth="1"/>
    <col min="2" max="2" width="8" customWidth="1"/>
    <col min="3" max="4" width="7.5546875" bestFit="1" customWidth="1"/>
    <col min="5" max="5" width="8" bestFit="1" customWidth="1"/>
    <col min="6" max="15" width="7.5546875" bestFit="1" customWidth="1"/>
    <col min="16" max="17" width="8.109375" bestFit="1" customWidth="1"/>
    <col min="18" max="19" width="7.5546875" bestFit="1" customWidth="1"/>
    <col min="20" max="20" width="7" bestFit="1" customWidth="1"/>
    <col min="21" max="21" width="7.5546875" bestFit="1" customWidth="1"/>
    <col min="25" max="25" width="9" bestFit="1" customWidth="1"/>
    <col min="29" max="29" width="9" bestFit="1" customWidth="1"/>
  </cols>
  <sheetData>
    <row r="1" spans="1:29" x14ac:dyDescent="0.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R2*1.3</f>
        <v>0.21749000000000002</v>
      </c>
      <c r="W2" s="192">
        <f>S2*1.3</f>
        <v>0.44343000000000005</v>
      </c>
      <c r="X2" s="192">
        <f>T2*1.3</f>
        <v>0.33281209272164147</v>
      </c>
      <c r="Y2" s="193">
        <f>U2*1.3</f>
        <v>0.37819555991095627</v>
      </c>
      <c r="Z2" s="340">
        <f>V2</f>
        <v>0.21749000000000002</v>
      </c>
      <c r="AA2" s="192">
        <f>W2</f>
        <v>0.44343000000000005</v>
      </c>
      <c r="AB2" s="192">
        <f>X2</f>
        <v>0.33281209272164147</v>
      </c>
      <c r="AC2" s="193">
        <f>Y2</f>
        <v>0.37819555991095627</v>
      </c>
    </row>
    <row r="3" spans="1:29" x14ac:dyDescent="0.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213.86928774890518</v>
      </c>
      <c r="W3" s="196">
        <f t="shared" si="0"/>
        <v>439.91259485383802</v>
      </c>
      <c r="X3" s="196">
        <f t="shared" si="0"/>
        <v>333.18203301574118</v>
      </c>
      <c r="Y3" s="197">
        <f t="shared" si="0"/>
        <v>380.84990303091678</v>
      </c>
      <c r="Z3" s="341">
        <f t="shared" si="0"/>
        <v>220.30112836876611</v>
      </c>
      <c r="AA3" s="196">
        <f t="shared" si="0"/>
        <v>451.7807642526235</v>
      </c>
      <c r="AB3" s="196">
        <f t="shared" si="0"/>
        <v>341.04555962160322</v>
      </c>
      <c r="AC3" s="197">
        <f t="shared" si="0"/>
        <v>389.78572871939633</v>
      </c>
    </row>
    <row r="4" spans="1:29" x14ac:dyDescent="0.25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 x14ac:dyDescent="0.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19.77958355016473</v>
      </c>
      <c r="W5" s="196">
        <f t="shared" si="2"/>
        <v>39.694593758795975</v>
      </c>
      <c r="X5" s="196">
        <f t="shared" si="2"/>
        <v>29.845116057094266</v>
      </c>
      <c r="Y5" s="197">
        <f t="shared" si="2"/>
        <v>35.380120912365214</v>
      </c>
      <c r="Z5" s="341">
        <f t="shared" si="2"/>
        <v>20.596929403026046</v>
      </c>
      <c r="AA5" s="196">
        <f t="shared" si="2"/>
        <v>41.708111146600196</v>
      </c>
      <c r="AB5" s="196">
        <f t="shared" si="2"/>
        <v>31.319633043221145</v>
      </c>
      <c r="AC5" s="197">
        <f t="shared" si="2"/>
        <v>35.753400057613824</v>
      </c>
    </row>
    <row r="6" spans="1:29" x14ac:dyDescent="0.25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 t="shared" ref="T6:AC6" si="4">AVERAGE(N6:S6)</f>
        <v>0.10054487933731972</v>
      </c>
      <c r="U6" s="243">
        <f t="shared" si="4"/>
        <v>9.5230552281611092E-2</v>
      </c>
      <c r="V6" s="244">
        <f t="shared" si="4"/>
        <v>9.2484450471388382E-2</v>
      </c>
      <c r="W6" s="245">
        <f t="shared" si="4"/>
        <v>9.0232910407997288E-2</v>
      </c>
      <c r="X6" s="242">
        <f t="shared" si="4"/>
        <v>8.9576006806118005E-2</v>
      </c>
      <c r="Y6" s="243">
        <f t="shared" si="4"/>
        <v>9.2897807327242801E-2</v>
      </c>
      <c r="Z6" s="244">
        <f t="shared" si="4"/>
        <v>9.3494434438612883E-2</v>
      </c>
      <c r="AA6" s="245">
        <f t="shared" si="4"/>
        <v>9.2319360288828409E-2</v>
      </c>
      <c r="AB6" s="242">
        <f t="shared" si="4"/>
        <v>9.1834161623364621E-2</v>
      </c>
      <c r="AC6" s="243">
        <f t="shared" si="4"/>
        <v>9.1725780148693994E-2</v>
      </c>
    </row>
    <row r="7" spans="1:29" ht="13.8" thickBot="1" x14ac:dyDescent="0.3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90.944795393649031</v>
      </c>
      <c r="W7" s="249">
        <f t="shared" si="5"/>
        <v>89.517158872417227</v>
      </c>
      <c r="X7" s="246">
        <f t="shared" si="5"/>
        <v>89.675575827276887</v>
      </c>
      <c r="Y7" s="247">
        <f t="shared" si="5"/>
        <v>93.549805081517192</v>
      </c>
      <c r="Z7" s="248">
        <f>Z5/Z2</f>
        <v>94.702880146333371</v>
      </c>
      <c r="AA7" s="249">
        <f>AA5/AA2</f>
        <v>94.057937321787406</v>
      </c>
      <c r="AB7" s="246">
        <f>AB5/AB2</f>
        <v>94.106054822402044</v>
      </c>
      <c r="AC7" s="247">
        <f>AC5/AC2</f>
        <v>94.536805418952383</v>
      </c>
    </row>
    <row r="8" spans="1:29" x14ac:dyDescent="0.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 x14ac:dyDescent="0.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 x14ac:dyDescent="0.25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 x14ac:dyDescent="0.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2.6808826932634111</v>
      </c>
      <c r="W11" s="204">
        <f t="shared" si="10"/>
        <v>4.5547013766377908</v>
      </c>
      <c r="X11" s="204">
        <f t="shared" si="10"/>
        <v>3.41116584333483</v>
      </c>
      <c r="Y11" s="205">
        <f t="shared" si="10"/>
        <v>3.0397392258433933</v>
      </c>
      <c r="Z11" s="346">
        <f t="shared" si="10"/>
        <v>2.919103186162554</v>
      </c>
      <c r="AA11" s="204">
        <f t="shared" si="10"/>
        <v>4.9192669157610798</v>
      </c>
      <c r="AB11" s="204">
        <f t="shared" si="10"/>
        <v>3.5260357211296913</v>
      </c>
      <c r="AC11" s="205">
        <f t="shared" si="10"/>
        <v>3.0021412048767266</v>
      </c>
    </row>
    <row r="12" spans="1:29" x14ac:dyDescent="0.25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 t="shared" ref="T12:AC12" si="12">AVERAGE(N12:S12)</f>
        <v>0.13582928279736931</v>
      </c>
      <c r="U12" s="243">
        <f t="shared" si="12"/>
        <v>0.13082522017416662</v>
      </c>
      <c r="V12" s="244">
        <f t="shared" si="12"/>
        <v>0.11831569804633164</v>
      </c>
      <c r="W12" s="245">
        <f t="shared" si="12"/>
        <v>0.11768294585053324</v>
      </c>
      <c r="X12" s="242">
        <f t="shared" si="12"/>
        <v>0.12137916716270077</v>
      </c>
      <c r="Y12" s="243">
        <f t="shared" si="12"/>
        <v>0.1273028767112768</v>
      </c>
      <c r="Z12" s="244">
        <f t="shared" si="12"/>
        <v>0.12522253179039641</v>
      </c>
      <c r="AA12" s="245">
        <f t="shared" si="12"/>
        <v>0.12345473995590091</v>
      </c>
      <c r="AB12" s="242">
        <f t="shared" si="12"/>
        <v>0.12222632658618997</v>
      </c>
      <c r="AC12" s="243">
        <f t="shared" si="12"/>
        <v>0.12287809800949968</v>
      </c>
    </row>
    <row r="13" spans="1:29" ht="13.8" thickBot="1" x14ac:dyDescent="0.3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136.80764917653661</v>
      </c>
      <c r="W13" s="249">
        <f t="shared" si="13"/>
        <v>136.7613913234984</v>
      </c>
      <c r="X13" s="246">
        <f t="shared" si="13"/>
        <v>142.28513194065962</v>
      </c>
      <c r="Y13" s="247">
        <f t="shared" si="13"/>
        <v>150.565902848306</v>
      </c>
      <c r="Z13" s="248">
        <f>Z11/(Z8*0.92/1000)</f>
        <v>148.96423689337385</v>
      </c>
      <c r="AA13" s="249">
        <f>AA11/(AA8*0.92/1000)</f>
        <v>147.70799050447633</v>
      </c>
      <c r="AB13" s="246">
        <f>AB11/(AB8*0.92/1000)</f>
        <v>147.07653654210543</v>
      </c>
      <c r="AC13" s="247">
        <f>AC11/(AC8*0.92/1000)</f>
        <v>148.70357863179856</v>
      </c>
    </row>
    <row r="14" spans="1:29" ht="13.8" thickBot="1" x14ac:dyDescent="0.3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8" thickBot="1" x14ac:dyDescent="0.3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8" hidden="1" outlineLevel="1" thickBot="1" x14ac:dyDescent="0.3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8" hidden="1" outlineLevel="1" thickBot="1" x14ac:dyDescent="0.3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8" hidden="1" outlineLevel="1" thickBot="1" x14ac:dyDescent="0.3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8" collapsed="1" thickBot="1" x14ac:dyDescent="0.3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0.53883181818181825</v>
      </c>
      <c r="W19" s="257">
        <f t="shared" si="15"/>
        <v>1.0834863636363636</v>
      </c>
      <c r="X19" s="254">
        <f t="shared" si="15"/>
        <v>0.81087783630593735</v>
      </c>
      <c r="Y19" s="255">
        <f t="shared" si="15"/>
        <v>0.90541891415738085</v>
      </c>
      <c r="Z19" s="256">
        <f>(Z2+Z8*0.92/1000)/0.44</f>
        <v>0.53883181818181825</v>
      </c>
      <c r="AA19" s="257">
        <f>(AA2+AA8*0.92/1000)/0.44</f>
        <v>1.0834863636363636</v>
      </c>
      <c r="AB19" s="254">
        <f>(AB2+AB8*0.92/1000)/0.44</f>
        <v>0.81087783630593735</v>
      </c>
      <c r="AC19" s="255">
        <f>(AC2+AC8*0.92/1000)/0.44</f>
        <v>0.90541891415738085</v>
      </c>
    </row>
    <row r="20" spans="1:29" ht="3.6" customHeight="1" thickBot="1" x14ac:dyDescent="0.3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 x14ac:dyDescent="0.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1.839442</v>
      </c>
      <c r="AA21" s="208">
        <f t="shared" si="16"/>
        <v>2.4904339999999996</v>
      </c>
      <c r="AB21" s="208">
        <f t="shared" si="16"/>
        <v>1.9537371849649794</v>
      </c>
      <c r="AC21" s="209">
        <f t="shared" si="16"/>
        <v>1.4889368062837949</v>
      </c>
    </row>
    <row r="22" spans="1:29" x14ac:dyDescent="0.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384.96554050159602</v>
      </c>
      <c r="AA22" s="212">
        <f t="shared" si="17"/>
        <v>533.34300871529854</v>
      </c>
      <c r="AB22" s="212">
        <f t="shared" si="17"/>
        <v>427.92595165892004</v>
      </c>
      <c r="AC22" s="213">
        <f t="shared" si="17"/>
        <v>333.37625248629462</v>
      </c>
    </row>
    <row r="23" spans="1:29" x14ac:dyDescent="0.25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 x14ac:dyDescent="0.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7.3609951493411323</v>
      </c>
      <c r="W24" s="212">
        <f t="shared" si="19"/>
        <v>8.7981841555624527</v>
      </c>
      <c r="X24" s="212">
        <f t="shared" si="19"/>
        <v>7.4590809454801237</v>
      </c>
      <c r="Y24" s="213">
        <f t="shared" si="19"/>
        <v>6.247797362955537</v>
      </c>
      <c r="Z24" s="345">
        <f t="shared" si="19"/>
        <v>15.892331127018451</v>
      </c>
      <c r="AA24" s="212">
        <f t="shared" si="19"/>
        <v>21.64558547925094</v>
      </c>
      <c r="AB24" s="212">
        <f t="shared" si="19"/>
        <v>17.179644159633149</v>
      </c>
      <c r="AC24" s="213">
        <f t="shared" si="19"/>
        <v>13.214331781672239</v>
      </c>
    </row>
    <row r="25" spans="1:29" x14ac:dyDescent="0.25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 t="shared" ref="T25:AC25" si="21">AVERAGE(N25:S25)</f>
        <v>4.5468920936351576E-2</v>
      </c>
      <c r="U25" s="243">
        <f t="shared" si="21"/>
        <v>4.3215348201504515E-2</v>
      </c>
      <c r="V25" s="244">
        <f t="shared" si="21"/>
        <v>4.3196758588409039E-2</v>
      </c>
      <c r="W25" s="245">
        <f t="shared" si="21"/>
        <v>3.6491008795760414E-2</v>
      </c>
      <c r="X25" s="242">
        <f t="shared" si="21"/>
        <v>3.8266865884820797E-2</v>
      </c>
      <c r="Y25" s="243">
        <f t="shared" si="21"/>
        <v>4.1055960457679008E-2</v>
      </c>
      <c r="Z25" s="244">
        <f t="shared" si="21"/>
        <v>4.1282477144087559E-2</v>
      </c>
      <c r="AA25" s="245">
        <f t="shared" si="21"/>
        <v>4.0584736512043557E-2</v>
      </c>
      <c r="AB25" s="242">
        <f t="shared" si="21"/>
        <v>4.0146301230466731E-2</v>
      </c>
      <c r="AC25" s="243">
        <f t="shared" si="21"/>
        <v>3.9637891670809673E-2</v>
      </c>
    </row>
    <row r="26" spans="1:29" ht="13.8" thickBot="1" x14ac:dyDescent="0.3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 x14ac:dyDescent="0.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47">
        <f>V27*2</f>
        <v>1.839442</v>
      </c>
      <c r="AA27" s="214">
        <f>W27*2</f>
        <v>2.4904339999999996</v>
      </c>
      <c r="AB27" s="214">
        <f>X27*2</f>
        <v>1.9537371849649794</v>
      </c>
      <c r="AC27" s="215">
        <f>Y27*2</f>
        <v>1.4889368062837949</v>
      </c>
    </row>
    <row r="28" spans="1:29" x14ac:dyDescent="0.25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 x14ac:dyDescent="0.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22.073304</v>
      </c>
      <c r="AA29" s="218">
        <f>AA27*AA30</f>
        <v>29.885207999999995</v>
      </c>
      <c r="AB29" s="218">
        <f>AB27*AB30</f>
        <v>23.444846219579752</v>
      </c>
      <c r="AC29" s="219">
        <f>AC27*AC30</f>
        <v>17.867241675405538</v>
      </c>
    </row>
    <row r="30" spans="1:29" x14ac:dyDescent="0.25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240">
        <v>12</v>
      </c>
      <c r="AA30" s="241">
        <v>12</v>
      </c>
      <c r="AB30" s="238">
        <v>12</v>
      </c>
      <c r="AC30" s="239">
        <v>12</v>
      </c>
    </row>
    <row r="31" spans="1:29" x14ac:dyDescent="0.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16.554977999999998</v>
      </c>
      <c r="AA31" s="218">
        <f>AA27*AA33</f>
        <v>22.413905999999997</v>
      </c>
      <c r="AB31" s="218">
        <f>AB27*AB33</f>
        <v>17.583634664684816</v>
      </c>
      <c r="AC31" s="218">
        <f>AC27*AC33</f>
        <v>13.400431256554153</v>
      </c>
    </row>
    <row r="32" spans="1:29" x14ac:dyDescent="0.25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0.74999999999999989</v>
      </c>
      <c r="AA32" s="245">
        <f>AA31/AA29</f>
        <v>0.75</v>
      </c>
      <c r="AB32" s="242">
        <f>AB31/AB29</f>
        <v>0.75000000000000011</v>
      </c>
      <c r="AC32" s="243">
        <f>AC31/AC29</f>
        <v>0.75</v>
      </c>
    </row>
    <row r="33" spans="1:29" ht="13.8" thickBot="1" x14ac:dyDescent="0.3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248">
        <v>9</v>
      </c>
      <c r="AA33" s="249">
        <v>9</v>
      </c>
      <c r="AB33" s="246">
        <v>9</v>
      </c>
      <c r="AC33" s="247">
        <v>9</v>
      </c>
    </row>
    <row r="34" spans="1:29" x14ac:dyDescent="0.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1.1754946183723149</v>
      </c>
      <c r="AA34" s="222">
        <f>(AA27+AA19)*AA36</f>
        <v>3.392955972835543</v>
      </c>
      <c r="AB34" s="222">
        <f>(AB27+AB19)*AB36</f>
        <v>0.15438432406289335</v>
      </c>
      <c r="AC34" s="223">
        <f>(AC27+AC19)*AC36</f>
        <v>3.7388422168277369E-2</v>
      </c>
    </row>
    <row r="35" spans="1:29" ht="26.4" x14ac:dyDescent="0.2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 x14ac:dyDescent="0.25">
      <c r="A36" s="54" t="s">
        <v>186</v>
      </c>
      <c r="B36" s="165">
        <f>B34/(B$27+EBITDA_good_ex!B$19)</f>
        <v>0.38187690183857892</v>
      </c>
      <c r="C36" s="161">
        <f>C34/(C$27+EBITDA_good_ex!C$19)</f>
        <v>0.58271073426647835</v>
      </c>
      <c r="D36" s="161">
        <f>D34/(D$27+EBITDA_good_ex!D$19)</f>
        <v>7.905643996012994E-2</v>
      </c>
      <c r="E36" s="162">
        <f>E34/(E$27+EBITDA_good_ex!E$19)</f>
        <v>2.5073256284212624E-2</v>
      </c>
      <c r="F36" s="163">
        <f>F34/(F$27+EBITDA_good_ex!F$19)</f>
        <v>0.5800876317270629</v>
      </c>
      <c r="G36" s="161">
        <f>G34/(G$27+EBITDA_good_ex!G$19)</f>
        <v>1.3341142365874108</v>
      </c>
      <c r="H36" s="161">
        <f>H34/(H$27+EBITDA_good_ex!H$19)</f>
        <v>8.759796106691016E-2</v>
      </c>
      <c r="I36" s="164">
        <f>I34/(I$27+EBITDA_good_ex!I$19)</f>
        <v>6.3712922087494645E-3</v>
      </c>
      <c r="J36" s="165">
        <f>J34/(J$27+EBITDA_good_ex!J$19)</f>
        <v>0.56768635612697049</v>
      </c>
      <c r="K36" s="161">
        <f>K34/(K$27+EBITDA_good_ex!K$19)</f>
        <v>1.0414383555534064</v>
      </c>
      <c r="L36" s="161">
        <f>L34/(L$27+EBITDA_good_ex!L$19)</f>
        <v>1.5337481162042397E-2</v>
      </c>
      <c r="M36" s="162">
        <f>M34/(M$27+EBITDA_good_ex!M$19)</f>
        <v>1.2033621579003267E-2</v>
      </c>
      <c r="N36" s="163">
        <f>N34/(N$27+EBITDA_good_ex!N$19)</f>
        <v>0.73974714898060934</v>
      </c>
      <c r="O36" s="161">
        <f>O34/(O$27+EBITDA_good_ex!O$19)</f>
        <v>1.0432971729934279</v>
      </c>
      <c r="P36" s="161">
        <f>P34/(P$27+EBITDA_good_ex!P$19)</f>
        <v>4.8732551848262237E-2</v>
      </c>
      <c r="Q36" s="164">
        <f>Q34/(Q$27+EBITDA_good_ex!Q$19)</f>
        <v>2.3895587274622921E-2</v>
      </c>
      <c r="R36" s="165">
        <f>R34/(R$27+EBITDA_good_ex!R$19)</f>
        <v>0.5361978981146146</v>
      </c>
      <c r="S36" s="161">
        <f>S34/(S$27+EBITDA_good_ex!S$19)</f>
        <v>1.0546982766716377</v>
      </c>
      <c r="T36" s="242">
        <f>T34/(T$27+EBITDA_good_ex!T$19)</f>
        <v>6.1885326742804142E-2</v>
      </c>
      <c r="U36" s="243">
        <f>U34/(U$27+EBITDA_good_ex!U$19)</f>
        <v>1.7749079514847745E-2</v>
      </c>
      <c r="V36" s="244">
        <f>V34/(V$27+EBITDA_good_ex!V$19)</f>
        <v>0.49426378467681076</v>
      </c>
      <c r="W36" s="245">
        <f>W34/(W$27+EBITDA_good_ex!W$19)</f>
        <v>0.9493652984990707</v>
      </c>
      <c r="X36" s="242">
        <f>X34/(X$27+EBITDA_good_ex!X$19)</f>
        <v>5.5842973750436176E-2</v>
      </c>
      <c r="Y36" s="243">
        <f>Y34/(Y$27+EBITDA_good_ex!Y$19)</f>
        <v>1.5615232878341196E-2</v>
      </c>
      <c r="Z36" s="366">
        <f>V36</f>
        <v>0.49426378467681076</v>
      </c>
      <c r="AA36" s="367">
        <f>W36</f>
        <v>0.9493652984990707</v>
      </c>
      <c r="AB36" s="368">
        <f>X36</f>
        <v>5.5842973750436176E-2</v>
      </c>
      <c r="AC36" s="369">
        <f>Y36</f>
        <v>1.5615232878341196E-2</v>
      </c>
    </row>
    <row r="37" spans="1:29" x14ac:dyDescent="0.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17.120994714499385</v>
      </c>
      <c r="AA37" s="226">
        <f t="shared" si="29"/>
        <v>49.418160125550941</v>
      </c>
      <c r="AB37" s="226">
        <f t="shared" si="29"/>
        <v>8.4494938892904994</v>
      </c>
      <c r="AC37" s="227">
        <f t="shared" si="29"/>
        <v>2.0462779920089278</v>
      </c>
    </row>
    <row r="38" spans="1:29" x14ac:dyDescent="0.25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AC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240">
        <f t="shared" si="31"/>
        <v>14.564928198656069</v>
      </c>
      <c r="AA38" s="241">
        <f t="shared" si="31"/>
        <v>14.564928198656071</v>
      </c>
      <c r="AB38" s="238">
        <f t="shared" si="31"/>
        <v>54.730258014073563</v>
      </c>
      <c r="AC38" s="239">
        <f t="shared" si="31"/>
        <v>54.730258014073556</v>
      </c>
    </row>
    <row r="39" spans="1:29" x14ac:dyDescent="0.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1"/>
        <v>7.1</v>
      </c>
      <c r="AA39" s="226">
        <f t="shared" si="31"/>
        <v>23</v>
      </c>
      <c r="AB39" s="226">
        <f t="shared" si="31"/>
        <v>3.1</v>
      </c>
      <c r="AC39" s="227">
        <f t="shared" si="31"/>
        <v>-0.30000000000000426</v>
      </c>
    </row>
    <row r="40" spans="1:29" x14ac:dyDescent="0.25">
      <c r="A40" s="54" t="s">
        <v>180</v>
      </c>
      <c r="B40" s="165">
        <f t="shared" ref="B40:Y40" si="32">B39/B37</f>
        <v>0.31182795698924726</v>
      </c>
      <c r="C40" s="161">
        <f t="shared" si="32"/>
        <v>0.4241071428571429</v>
      </c>
      <c r="D40" s="161">
        <f t="shared" si="32"/>
        <v>0.5</v>
      </c>
      <c r="E40" s="162">
        <f t="shared" si="32"/>
        <v>0.41463414634146312</v>
      </c>
      <c r="F40" s="163">
        <f t="shared" si="32"/>
        <v>0.46938775510204073</v>
      </c>
      <c r="G40" s="161">
        <f t="shared" si="32"/>
        <v>0.58579881656804733</v>
      </c>
      <c r="H40" s="161">
        <f t="shared" si="32"/>
        <v>0.61832061068702293</v>
      </c>
      <c r="I40" s="164">
        <f t="shared" si="32"/>
        <v>-3.5555555555555283</v>
      </c>
      <c r="J40" s="165">
        <f t="shared" si="32"/>
        <v>0.48913043478260876</v>
      </c>
      <c r="K40" s="161">
        <f t="shared" si="32"/>
        <v>0.5381526104417671</v>
      </c>
      <c r="L40" s="161">
        <f t="shared" si="32"/>
        <v>0.125</v>
      </c>
      <c r="M40" s="162">
        <f t="shared" si="32"/>
        <v>-5.7142857142856822E-2</v>
      </c>
      <c r="N40" s="163">
        <f t="shared" si="32"/>
        <v>0.6</v>
      </c>
      <c r="O40" s="161">
        <f t="shared" si="32"/>
        <v>0.68281938325991187</v>
      </c>
      <c r="P40" s="161">
        <f t="shared" si="32"/>
        <v>0.58490566037735847</v>
      </c>
      <c r="Q40" s="164">
        <f t="shared" si="32"/>
        <v>-0.17647058823529632</v>
      </c>
      <c r="R40" s="165">
        <f t="shared" si="32"/>
        <v>0.67619047619047612</v>
      </c>
      <c r="S40" s="161">
        <f t="shared" si="32"/>
        <v>0.71428571428571419</v>
      </c>
      <c r="T40" s="242">
        <f t="shared" si="32"/>
        <v>0.56736134288287354</v>
      </c>
      <c r="U40" s="243">
        <f t="shared" si="32"/>
        <v>-0.21276050358108059</v>
      </c>
      <c r="V40" s="244">
        <f t="shared" si="32"/>
        <v>0.67619047619047612</v>
      </c>
      <c r="W40" s="245">
        <f t="shared" si="32"/>
        <v>0.71428571428571419</v>
      </c>
      <c r="X40" s="242">
        <f t="shared" si="32"/>
        <v>0.56736134288287354</v>
      </c>
      <c r="Y40" s="243">
        <f t="shared" si="32"/>
        <v>-0.21276050358108059</v>
      </c>
      <c r="Z40" s="244">
        <f>Z39/Z37</f>
        <v>0.41469553132839704</v>
      </c>
      <c r="AA40" s="245">
        <f>AA39/AA37</f>
        <v>0.4654159511719293</v>
      </c>
      <c r="AB40" s="242">
        <f>AB39/AB37</f>
        <v>0.36688587986662308</v>
      </c>
      <c r="AC40" s="243">
        <f>AC39/AC37</f>
        <v>-0.14660764625899148</v>
      </c>
    </row>
    <row r="41" spans="1:29" ht="13.8" thickBot="1" x14ac:dyDescent="0.3">
      <c r="A41" s="55" t="s">
        <v>182</v>
      </c>
      <c r="B41" s="156">
        <f>B39/B34</f>
        <v>6.087689213035878</v>
      </c>
      <c r="C41" s="157">
        <f t="shared" ref="C41:Y41" si="33">C39/C34</f>
        <v>8.2796696732099733</v>
      </c>
      <c r="D41" s="157">
        <f t="shared" si="33"/>
        <v>65.136476426799121</v>
      </c>
      <c r="E41" s="158">
        <f t="shared" si="33"/>
        <v>54.01561459783337</v>
      </c>
      <c r="F41" s="159">
        <f t="shared" si="33"/>
        <v>11.604739971261274</v>
      </c>
      <c r="G41" s="157">
        <f t="shared" si="33"/>
        <v>14.482875912510952</v>
      </c>
      <c r="H41" s="157">
        <f t="shared" si="33"/>
        <v>63.087042594602138</v>
      </c>
      <c r="I41" s="160">
        <f t="shared" si="33"/>
        <v>-362.77212970722928</v>
      </c>
      <c r="J41" s="156">
        <f t="shared" si="33"/>
        <v>6.7309716812296028</v>
      </c>
      <c r="K41" s="157">
        <f t="shared" si="33"/>
        <v>7.4055706279516764</v>
      </c>
      <c r="L41" s="157">
        <f t="shared" si="33"/>
        <v>23.004434589800617</v>
      </c>
      <c r="M41" s="158">
        <f t="shared" si="33"/>
        <v>-10.516312955337366</v>
      </c>
      <c r="N41" s="159">
        <f t="shared" si="33"/>
        <v>6.9541959210966224</v>
      </c>
      <c r="O41" s="157">
        <f t="shared" si="33"/>
        <v>7.9140996165196524</v>
      </c>
      <c r="P41" s="157">
        <f t="shared" si="33"/>
        <v>32.01203770634492</v>
      </c>
      <c r="Q41" s="160">
        <f t="shared" si="33"/>
        <v>-9.658280826013101</v>
      </c>
      <c r="R41" s="156">
        <f t="shared" si="33"/>
        <v>9.8486657343293409</v>
      </c>
      <c r="S41" s="157">
        <f t="shared" si="33"/>
        <v>10.403520141897193</v>
      </c>
      <c r="T41" s="246">
        <f t="shared" si="33"/>
        <v>31.051832683190923</v>
      </c>
      <c r="U41" s="247">
        <f t="shared" si="33"/>
        <v>-11.644437256196762</v>
      </c>
      <c r="V41" s="248">
        <f t="shared" si="33"/>
        <v>9.8486657343293409</v>
      </c>
      <c r="W41" s="249">
        <f t="shared" si="33"/>
        <v>10.403520141897193</v>
      </c>
      <c r="X41" s="246">
        <f t="shared" si="33"/>
        <v>31.051832683190923</v>
      </c>
      <c r="Y41" s="247">
        <f t="shared" si="33"/>
        <v>-11.644437256196762</v>
      </c>
      <c r="Z41" s="248">
        <f>Z39/Z34</f>
        <v>6.0400106381016316</v>
      </c>
      <c r="AA41" s="249">
        <f>AA39/AA34</f>
        <v>6.7787499113283696</v>
      </c>
      <c r="AB41" s="246">
        <f>AB39/AB34</f>
        <v>20.079758866820679</v>
      </c>
      <c r="AC41" s="247">
        <f>AC39/AC34</f>
        <v>-8.0238743065906295</v>
      </c>
    </row>
    <row r="42" spans="1:29" ht="3.6" customHeight="1" thickBot="1" x14ac:dyDescent="0.3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 x14ac:dyDescent="0.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>Farming!M30</f>
        <v>2.1208800000000001</v>
      </c>
      <c r="V43" s="232"/>
      <c r="W43" s="233"/>
      <c r="X43" s="230"/>
      <c r="Y43" s="338">
        <f>Farming!N30</f>
        <v>2.0927949999999997</v>
      </c>
      <c r="Z43" s="232"/>
      <c r="AA43" s="233"/>
      <c r="AB43" s="230"/>
      <c r="AC43" s="392">
        <f>Farming!O30*700/600</f>
        <v>3.3678425000000005</v>
      </c>
    </row>
    <row r="44" spans="1:29" x14ac:dyDescent="0.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 x14ac:dyDescent="0.25">
      <c r="A45" s="190" t="s">
        <v>235</v>
      </c>
      <c r="B45" s="283"/>
      <c r="C45" s="281"/>
      <c r="D45" s="281"/>
      <c r="E45" s="298">
        <f>E44*Farming!$I$31/SUM(Farming!$I$2:$I$7)*10^6/43100</f>
        <v>40.173891806081329</v>
      </c>
      <c r="F45" s="280"/>
      <c r="G45" s="281"/>
      <c r="H45" s="281"/>
      <c r="I45" s="284">
        <f>I44*Farming!$J$31/SUM(Farming!$J$2:$J$7)*10^6/43100</f>
        <v>88.367340945012629</v>
      </c>
      <c r="J45" s="280"/>
      <c r="K45" s="281"/>
      <c r="L45" s="281"/>
      <c r="M45" s="284">
        <f>M44*Farming!$K$31/SUM(Farming!$K$2:$K$7)*10^6/43100</f>
        <v>92.282113647996837</v>
      </c>
      <c r="N45" s="288"/>
      <c r="O45" s="286"/>
      <c r="P45" s="286"/>
      <c r="Q45" s="289">
        <f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 x14ac:dyDescent="0.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4">V66*V23</f>
        <v>95.18754022029475</v>
      </c>
      <c r="W46" s="234">
        <f t="shared" si="34"/>
        <v>182.9359203893255</v>
      </c>
      <c r="X46" s="234">
        <f t="shared" si="34"/>
        <v>56.292546431850859</v>
      </c>
      <c r="Y46" s="235">
        <f t="shared" si="34"/>
        <v>71.981073918057604</v>
      </c>
      <c r="Z46" s="337">
        <f t="shared" si="34"/>
        <v>173.02612296339456</v>
      </c>
      <c r="AA46" s="234">
        <f t="shared" si="34"/>
        <v>325.60683015720247</v>
      </c>
      <c r="AB46" s="234">
        <f t="shared" si="34"/>
        <v>99.437954608658004</v>
      </c>
      <c r="AC46" s="235">
        <f t="shared" si="34"/>
        <v>126.88122165196991</v>
      </c>
    </row>
    <row r="47" spans="1:29" outlineLevel="1" x14ac:dyDescent="0.25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 x14ac:dyDescent="0.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5">T46*T49</f>
        <v>22.678385837132495</v>
      </c>
      <c r="U48" s="235">
        <f t="shared" si="35"/>
        <v>22.678385837132495</v>
      </c>
      <c r="V48" s="337">
        <f t="shared" si="35"/>
        <v>42.559813656189476</v>
      </c>
      <c r="W48" s="234">
        <f t="shared" si="35"/>
        <v>81.793464404842652</v>
      </c>
      <c r="X48" s="234">
        <f t="shared" si="35"/>
        <v>25.169263548856392</v>
      </c>
      <c r="Y48" s="235">
        <f t="shared" si="35"/>
        <v>32.183845549900752</v>
      </c>
      <c r="Z48" s="337">
        <f t="shared" si="35"/>
        <v>77.362641517286988</v>
      </c>
      <c r="AA48" s="234">
        <f t="shared" si="35"/>
        <v>145.58382309913378</v>
      </c>
      <c r="AB48" s="234">
        <f t="shared" si="35"/>
        <v>44.460239320217276</v>
      </c>
      <c r="AC48" s="235">
        <f t="shared" si="35"/>
        <v>56.730546219390391</v>
      </c>
    </row>
    <row r="49" spans="1:29" ht="13.8" thickBot="1" x14ac:dyDescent="0.3">
      <c r="A49" s="54" t="s">
        <v>180</v>
      </c>
      <c r="B49" s="165">
        <f t="shared" ref="B49:S49" si="36">B48/B46</f>
        <v>0.29804372842347521</v>
      </c>
      <c r="C49" s="161">
        <f t="shared" si="36"/>
        <v>-0.1953125</v>
      </c>
      <c r="D49" s="161">
        <f t="shared" si="36"/>
        <v>-0.29166666666666669</v>
      </c>
      <c r="E49" s="162">
        <f t="shared" si="36"/>
        <v>1.9139072847682128</v>
      </c>
      <c r="F49" s="163">
        <f t="shared" si="36"/>
        <v>-9.1559370529327611E-2</v>
      </c>
      <c r="G49" s="161">
        <f t="shared" si="36"/>
        <v>-0.25575757575757579</v>
      </c>
      <c r="H49" s="161">
        <f t="shared" si="36"/>
        <v>-0.61604584527220629</v>
      </c>
      <c r="I49" s="164">
        <f t="shared" si="36"/>
        <v>1.2709359605911321</v>
      </c>
      <c r="J49" s="165">
        <f t="shared" si="36"/>
        <v>0.1934900542495479</v>
      </c>
      <c r="K49" s="161">
        <f t="shared" si="36"/>
        <v>0.30131306150656534</v>
      </c>
      <c r="L49" s="161">
        <f t="shared" si="36"/>
        <v>0.26552462526766596</v>
      </c>
      <c r="M49" s="162">
        <f t="shared" si="36"/>
        <v>0.48979591836734709</v>
      </c>
      <c r="N49" s="163">
        <f t="shared" si="36"/>
        <v>0.40213523131672596</v>
      </c>
      <c r="O49" s="161">
        <f t="shared" si="36"/>
        <v>0.39642481598317558</v>
      </c>
      <c r="P49" s="161">
        <f t="shared" si="36"/>
        <v>3.2376237623762378</v>
      </c>
      <c r="Q49" s="164">
        <f t="shared" si="36"/>
        <v>3.5538461538461572</v>
      </c>
      <c r="R49" s="165">
        <f t="shared" si="36"/>
        <v>0.53073770491803274</v>
      </c>
      <c r="S49" s="161">
        <f t="shared" si="36"/>
        <v>0.44711538461538458</v>
      </c>
      <c r="T49" s="242">
        <f t="shared" ref="T49:AC49" si="37">S49</f>
        <v>0.44711538461538458</v>
      </c>
      <c r="U49" s="243">
        <f t="shared" si="37"/>
        <v>0.44711538461538458</v>
      </c>
      <c r="V49" s="244">
        <f t="shared" si="37"/>
        <v>0.44711538461538458</v>
      </c>
      <c r="W49" s="245">
        <f t="shared" si="37"/>
        <v>0.44711538461538458</v>
      </c>
      <c r="X49" s="242">
        <f t="shared" si="37"/>
        <v>0.44711538461538458</v>
      </c>
      <c r="Y49" s="243">
        <f t="shared" si="37"/>
        <v>0.44711538461538458</v>
      </c>
      <c r="Z49" s="244">
        <f t="shared" si="37"/>
        <v>0.44711538461538458</v>
      </c>
      <c r="AA49" s="245">
        <f t="shared" si="37"/>
        <v>0.44711538461538458</v>
      </c>
      <c r="AB49" s="242">
        <f t="shared" si="37"/>
        <v>0.44711538461538458</v>
      </c>
      <c r="AC49" s="243">
        <f t="shared" si="37"/>
        <v>0.44711538461538458</v>
      </c>
    </row>
    <row r="50" spans="1:29" ht="13.8" hidden="1" outlineLevel="1" thickBot="1" x14ac:dyDescent="0.3">
      <c r="A50" s="55" t="s">
        <v>182</v>
      </c>
      <c r="B50" s="156" t="e">
        <f t="shared" ref="B50:S50" si="38">B48/B43</f>
        <v>#DIV/0!</v>
      </c>
      <c r="C50" s="157" t="e">
        <f t="shared" si="38"/>
        <v>#DIV/0!</v>
      </c>
      <c r="D50" s="157" t="e">
        <f t="shared" si="38"/>
        <v>#DIV/0!</v>
      </c>
      <c r="E50" s="158">
        <f t="shared" si="38"/>
        <v>94.198174706649283</v>
      </c>
      <c r="F50" s="159" t="e">
        <f t="shared" si="38"/>
        <v>#DIV/0!</v>
      </c>
      <c r="G50" s="157" t="e">
        <f t="shared" si="38"/>
        <v>#DIV/0!</v>
      </c>
      <c r="H50" s="157" t="e">
        <f t="shared" si="38"/>
        <v>#DIV/0!</v>
      </c>
      <c r="I50" s="160">
        <f t="shared" si="38"/>
        <v>18.759543372355122</v>
      </c>
      <c r="J50" s="156" t="e">
        <f t="shared" si="38"/>
        <v>#DIV/0!</v>
      </c>
      <c r="K50" s="157" t="e">
        <f t="shared" si="38"/>
        <v>#DIV/0!</v>
      </c>
      <c r="L50" s="157" t="e">
        <f t="shared" si="38"/>
        <v>#DIV/0!</v>
      </c>
      <c r="M50" s="158">
        <f t="shared" si="38"/>
        <v>17.347789824854047</v>
      </c>
      <c r="N50" s="159" t="e">
        <f t="shared" si="38"/>
        <v>#DIV/0!</v>
      </c>
      <c r="O50" s="157" t="e">
        <f t="shared" si="38"/>
        <v>#DIV/0!</v>
      </c>
      <c r="P50" s="157" t="e">
        <f t="shared" si="38"/>
        <v>#DIV/0!</v>
      </c>
      <c r="Q50" s="160">
        <f t="shared" si="38"/>
        <v>12.704174228675148</v>
      </c>
      <c r="R50" s="156" t="e">
        <f t="shared" si="38"/>
        <v>#DIV/0!</v>
      </c>
      <c r="S50" s="157" t="e">
        <f t="shared" si="38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 x14ac:dyDescent="0.3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 x14ac:dyDescent="0.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 x14ac:dyDescent="0.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 x14ac:dyDescent="0.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8" thickBot="1" x14ac:dyDescent="0.3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39">U55</f>
        <v>-20.8</v>
      </c>
      <c r="W55" s="149">
        <f t="shared" si="39"/>
        <v>-20.8</v>
      </c>
      <c r="X55" s="149">
        <f t="shared" si="39"/>
        <v>-20.8</v>
      </c>
      <c r="Y55" s="150">
        <f t="shared" si="39"/>
        <v>-20.8</v>
      </c>
      <c r="Z55" s="356">
        <f t="shared" si="39"/>
        <v>-20.8</v>
      </c>
      <c r="AA55" s="149">
        <f t="shared" si="39"/>
        <v>-20.8</v>
      </c>
      <c r="AB55" s="149">
        <f t="shared" si="39"/>
        <v>-20.8</v>
      </c>
      <c r="AC55" s="150">
        <f t="shared" si="39"/>
        <v>-20.8</v>
      </c>
    </row>
    <row r="57" spans="1:29" x14ac:dyDescent="0.25">
      <c r="A57" s="30" t="s">
        <v>212</v>
      </c>
      <c r="B57" s="85">
        <f t="shared" ref="B57:M57" si="40">SUM(B24,B31,B39,B5,B11,B48,B52,B54,B55)</f>
        <v>74.999999999999986</v>
      </c>
      <c r="C57" s="85">
        <f t="shared" si="40"/>
        <v>80.899999999999991</v>
      </c>
      <c r="D57" s="85">
        <f t="shared" si="40"/>
        <v>45</v>
      </c>
      <c r="E57" s="85">
        <f t="shared" si="40"/>
        <v>86.699999999999989</v>
      </c>
      <c r="F57" s="85">
        <f t="shared" si="40"/>
        <v>3.0000000000000036</v>
      </c>
      <c r="G57" s="85">
        <f t="shared" si="40"/>
        <v>57.5</v>
      </c>
      <c r="H57" s="85">
        <f t="shared" si="40"/>
        <v>30.099999999999994</v>
      </c>
      <c r="I57" s="85">
        <f t="shared" si="40"/>
        <v>132.39999999999998</v>
      </c>
      <c r="J57" s="85">
        <f t="shared" si="40"/>
        <v>80.500000000000014</v>
      </c>
      <c r="K57" s="85">
        <f t="shared" si="40"/>
        <v>142.30000000000001</v>
      </c>
      <c r="L57" s="85">
        <f t="shared" si="40"/>
        <v>115.20000000000002</v>
      </c>
      <c r="M57" s="85">
        <f t="shared" si="4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1">SUM(P24,P31,P39,P5,P11,P48,P52,P54,P55)</f>
        <v>99.000000000000014</v>
      </c>
      <c r="Q57" s="85">
        <f t="shared" si="41"/>
        <v>47.300000000000011</v>
      </c>
      <c r="R57" s="85">
        <f t="shared" si="41"/>
        <v>72.400000000000006</v>
      </c>
      <c r="S57" s="85">
        <f t="shared" si="41"/>
        <v>130.19999999999999</v>
      </c>
      <c r="T57" s="84">
        <f t="shared" si="41"/>
        <v>51.015488030696972</v>
      </c>
      <c r="U57" s="84">
        <f t="shared" si="41"/>
        <v>44.846662868679189</v>
      </c>
      <c r="V57" s="84">
        <f t="shared" si="41"/>
        <v>67.878485048958751</v>
      </c>
      <c r="W57" s="84">
        <f t="shared" si="41"/>
        <v>149.49311369583887</v>
      </c>
      <c r="X57" s="84">
        <f t="shared" si="41"/>
        <v>57.953312319590509</v>
      </c>
      <c r="Y57" s="84">
        <f t="shared" si="41"/>
        <v>63.19618708248386</v>
      </c>
      <c r="Z57" s="84">
        <f t="shared" si="41"/>
        <v>119.62598323349404</v>
      </c>
      <c r="AA57" s="84">
        <f t="shared" si="41"/>
        <v>238.47069264074599</v>
      </c>
      <c r="AB57" s="84">
        <f t="shared" si="41"/>
        <v>96.369186908886078</v>
      </c>
      <c r="AC57" s="84">
        <f t="shared" si="41"/>
        <v>101.00085052010733</v>
      </c>
    </row>
    <row r="58" spans="1:29" x14ac:dyDescent="0.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338.52109814687196</v>
      </c>
      <c r="AC58" s="33">
        <f>SUM(Z57:AC57)</f>
        <v>555.4667133032334</v>
      </c>
    </row>
    <row r="60" spans="1:29" x14ac:dyDescent="0.25">
      <c r="A60" s="30" t="s">
        <v>203</v>
      </c>
    </row>
    <row r="61" spans="1:29" x14ac:dyDescent="0.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2">Y61*2-X61</f>
        <v>192.02556022408962</v>
      </c>
      <c r="AA61" s="351">
        <f t="shared" si="42"/>
        <v>196.89834267040146</v>
      </c>
      <c r="AB61" s="351">
        <f t="shared" si="42"/>
        <v>201.77112511671331</v>
      </c>
      <c r="AC61" s="351">
        <f t="shared" si="42"/>
        <v>206.64390756302515</v>
      </c>
    </row>
    <row r="62" spans="1:29" x14ac:dyDescent="0.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2"/>
        <v>164.79033870766153</v>
      </c>
      <c r="AA62" s="351">
        <f t="shared" si="42"/>
        <v>167.55874265716784</v>
      </c>
      <c r="AB62" s="351">
        <f t="shared" si="42"/>
        <v>170.32714660667415</v>
      </c>
      <c r="AC62" s="351">
        <f t="shared" si="42"/>
        <v>173.09555055618046</v>
      </c>
    </row>
    <row r="63" spans="1:29" x14ac:dyDescent="0.25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2"/>
        <v>510.72691111111106</v>
      </c>
      <c r="AA63" s="351">
        <f t="shared" si="42"/>
        <v>510.10282222222213</v>
      </c>
      <c r="AB63" s="351">
        <f t="shared" si="42"/>
        <v>509.4787333333332</v>
      </c>
      <c r="AC63" s="351">
        <f t="shared" si="42"/>
        <v>508.85464444444426</v>
      </c>
    </row>
    <row r="64" spans="1:29" x14ac:dyDescent="0.25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 x14ac:dyDescent="0.25">
      <c r="A65" t="s">
        <v>16</v>
      </c>
    </row>
    <row r="66" spans="1:29" x14ac:dyDescent="0.25">
      <c r="A66" t="s">
        <v>376</v>
      </c>
      <c r="B66">
        <f t="shared" ref="B66:U66" si="43">B46/B23</f>
        <v>0.28676380893782388</v>
      </c>
      <c r="C66">
        <f t="shared" si="43"/>
        <v>0.2051008</v>
      </c>
      <c r="D66">
        <f t="shared" si="43"/>
        <v>3.2796571906354523E-2</v>
      </c>
      <c r="E66">
        <f t="shared" si="43"/>
        <v>9.7273605362379528E-2</v>
      </c>
      <c r="F66">
        <f t="shared" si="43"/>
        <v>0.27004628777292577</v>
      </c>
      <c r="G66">
        <f t="shared" si="43"/>
        <v>0.67047694765672539</v>
      </c>
      <c r="H66">
        <f t="shared" si="43"/>
        <v>0.14829004343598054</v>
      </c>
      <c r="I66">
        <f t="shared" si="43"/>
        <v>7.7163602133333439E-2</v>
      </c>
      <c r="J66">
        <f t="shared" si="43"/>
        <v>0.23524658536585369</v>
      </c>
      <c r="K66">
        <f t="shared" si="43"/>
        <v>0.64943730006397937</v>
      </c>
      <c r="L66">
        <f t="shared" si="43"/>
        <v>0.20785558155080219</v>
      </c>
      <c r="M66">
        <f t="shared" si="43"/>
        <v>0.32497307443365697</v>
      </c>
      <c r="N66">
        <f t="shared" si="43"/>
        <v>0.29563176403857061</v>
      </c>
      <c r="O66">
        <f t="shared" si="43"/>
        <v>1.4600517214700195</v>
      </c>
      <c r="P66">
        <f t="shared" si="43"/>
        <v>5.5975283979631807E-2</v>
      </c>
      <c r="Q66">
        <f t="shared" si="43"/>
        <v>3.6762537993920964E-2</v>
      </c>
      <c r="R66">
        <f t="shared" si="43"/>
        <v>0.86571737606409627</v>
      </c>
      <c r="S66">
        <f t="shared" si="43"/>
        <v>0.68993547455792126</v>
      </c>
      <c r="T66">
        <f t="shared" si="43"/>
        <v>0.2896392710476709</v>
      </c>
      <c r="U66">
        <f t="shared" si="43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0.82675326539964145</v>
      </c>
      <c r="AA66">
        <f>$AC$43*AA67</f>
        <v>1.520414268500492</v>
      </c>
      <c r="AB66">
        <f>$AC$43*AB67</f>
        <v>0.45399356772510724</v>
      </c>
      <c r="AC66">
        <f>$AC$43*AC67</f>
        <v>0.56668139837475962</v>
      </c>
    </row>
    <row r="67" spans="1:29" x14ac:dyDescent="0.25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 x14ac:dyDescent="0.25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 x14ac:dyDescent="0.25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 x14ac:dyDescent="0.25">
      <c r="A70" t="s">
        <v>381</v>
      </c>
      <c r="B70" s="33">
        <f>B23</f>
        <v>303.03684527653093</v>
      </c>
      <c r="C70" s="33">
        <f t="shared" ref="C70:Y70" si="44">C23</f>
        <v>312.04168876961961</v>
      </c>
      <c r="D70" s="33">
        <f t="shared" si="44"/>
        <v>365.89189974684314</v>
      </c>
      <c r="E70" s="33">
        <f t="shared" si="44"/>
        <v>310.46448712879527</v>
      </c>
      <c r="F70" s="33">
        <f t="shared" si="44"/>
        <v>258.84451357012142</v>
      </c>
      <c r="G70" s="33">
        <f t="shared" si="44"/>
        <v>246.09347208232077</v>
      </c>
      <c r="H70" s="33">
        <f t="shared" si="44"/>
        <v>235.34958377071993</v>
      </c>
      <c r="I70" s="33">
        <f t="shared" si="44"/>
        <v>263.07740228252948</v>
      </c>
      <c r="J70" s="33">
        <f t="shared" si="44"/>
        <v>235.07248750921448</v>
      </c>
      <c r="K70" s="33">
        <f t="shared" si="44"/>
        <v>222.80826799714899</v>
      </c>
      <c r="L70" s="33">
        <f t="shared" si="44"/>
        <v>224.67522715326271</v>
      </c>
      <c r="M70" s="33">
        <f t="shared" si="44"/>
        <v>196.01623953311338</v>
      </c>
      <c r="N70" s="33">
        <f t="shared" si="44"/>
        <v>190.10135863704983</v>
      </c>
      <c r="O70" s="33">
        <f t="shared" si="44"/>
        <v>195.4040365862877</v>
      </c>
      <c r="P70" s="33">
        <f t="shared" si="44"/>
        <v>180.43677998445119</v>
      </c>
      <c r="Q70" s="33">
        <f t="shared" si="44"/>
        <v>176.81042590353357</v>
      </c>
      <c r="R70" s="33">
        <f t="shared" si="44"/>
        <v>169.10830722330425</v>
      </c>
      <c r="S70" s="33">
        <f t="shared" si="44"/>
        <v>180.88648084078596</v>
      </c>
      <c r="T70" s="33">
        <f t="shared" si="44"/>
        <v>175.11973060883739</v>
      </c>
      <c r="U70" s="33">
        <f t="shared" si="44"/>
        <v>177.6939424172167</v>
      </c>
      <c r="V70" s="33">
        <f t="shared" si="44"/>
        <v>185.28031029770219</v>
      </c>
      <c r="W70" s="33">
        <f t="shared" si="44"/>
        <v>193.62531496623626</v>
      </c>
      <c r="X70" s="33">
        <f t="shared" si="44"/>
        <v>199.53830516231471</v>
      </c>
      <c r="Y70" s="33">
        <f t="shared" si="44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J59"/>
  <sheetViews>
    <sheetView workbookViewId="0">
      <pane xSplit="1" ySplit="1" topLeftCell="Q2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Y23" sqref="Y23"/>
    </sheetView>
  </sheetViews>
  <sheetFormatPr defaultRowHeight="13.2" outlineLevelCol="1" x14ac:dyDescent="0.25"/>
  <cols>
    <col min="1" max="1" width="70" bestFit="1" customWidth="1"/>
    <col min="2" max="5" width="8.88671875" hidden="1" customWidth="1" outlineLevel="1"/>
    <col min="6" max="6" width="8.88671875" collapsed="1"/>
  </cols>
  <sheetData>
    <row r="1" spans="1:36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 x14ac:dyDescent="0.25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>EBITDA_good_ex!T57*1000-SUM(T4:T5,T9,T12)</f>
        <v>10866.279046876982</v>
      </c>
      <c r="U2" s="353">
        <f>EBITDA_good_ex!U57*1000-SUM(U4:U5,U9,U12)</f>
        <v>7493.5248053373871</v>
      </c>
      <c r="V2" s="353">
        <f>EBITDA_good_ex!V57*1000-SUM(V4:V5,V9,V12)</f>
        <v>24521.205110820178</v>
      </c>
      <c r="W2" s="353">
        <f>EBITDA_good_ex!W57*1000-SUM(W4:W5,W9,W12)</f>
        <v>97621.30110567376</v>
      </c>
      <c r="X2" s="353">
        <f>EBITDA_good_ex!X57*1000-SUM(X4:X5,X9,X12)</f>
        <v>8719.4832542755321</v>
      </c>
      <c r="Y2" s="353">
        <f>EBITDA_good_ex!Y57*1000-SUM(Y4:Y5,Y9,Y12)</f>
        <v>18048.847788310297</v>
      </c>
      <c r="Z2" s="353">
        <f>EBITDA_good_ex!Z57*1000-SUM(Z4:Z5,Z9,Z12)</f>
        <v>57251.721714961386</v>
      </c>
      <c r="AA2" s="353">
        <f>EBITDA_good_ex!AA57*1000-SUM(AA4:AA5,AA9,AA12)</f>
        <v>169195.56918873457</v>
      </c>
      <c r="AB2" s="353">
        <f>EBITDA_good_ex!AB57*1000-SUM(AB4:AB5,AB9,AB12)</f>
        <v>44348.321582494209</v>
      </c>
      <c r="AC2" s="353">
        <f>EBITDA_good_ex!AC57*1000-SUM(AC4:AC5,AC9,AC12)</f>
        <v>56282.670480306027</v>
      </c>
      <c r="AD2" s="311"/>
      <c r="AE2" s="311"/>
      <c r="AF2" s="311"/>
      <c r="AG2" s="311"/>
      <c r="AH2" s="311"/>
      <c r="AI2" s="311"/>
      <c r="AJ2" s="311"/>
    </row>
    <row r="3" spans="1:36" x14ac:dyDescent="0.25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 x14ac:dyDescent="0.25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>SUM(BS_good_ex!S15:S18)*T57/4</f>
        <v>13577.025</v>
      </c>
      <c r="U4" s="360">
        <f>SUM(BS_good_ex!T15:T18)*U57/4</f>
        <v>12950.34328125</v>
      </c>
      <c r="V4" s="360">
        <f>SUM(BS_good_ex!U15:U18)*V57/4</f>
        <v>13270.024344726562</v>
      </c>
      <c r="W4" s="360">
        <f>SUM(BS_good_ex!V15:V18)*W57/4</f>
        <v>17521.211388262938</v>
      </c>
      <c r="X4" s="360">
        <f>SUM(BS_good_ex!W15:W18)*X57/4</f>
        <v>20567.68867473301</v>
      </c>
      <c r="Y4" s="360">
        <f>SUM(BS_good_ex!X15:X18)*Y57/4</f>
        <v>20744.544512081764</v>
      </c>
      <c r="Z4" s="360">
        <f>SUM(BS_good_ex!Y15:Y18)*Z57/4</f>
        <v>20918.084302480234</v>
      </c>
      <c r="AA4" s="360">
        <f>SUM(BS_good_ex!Z15:Z18)*AA57/4</f>
        <v>20713.370221808727</v>
      </c>
      <c r="AB4" s="360">
        <f>SUM(BS_good_ex!AA15:AA18)*AB57/4</f>
        <v>20512.494530149812</v>
      </c>
      <c r="AC4" s="360">
        <f>SUM(BS_good_ex!AB15:AB18)*AC57/4</f>
        <v>20315.385257709499</v>
      </c>
    </row>
    <row r="5" spans="1:36" x14ac:dyDescent="0.25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>SUM(BS_good_ex!S29:T31,BS_good_ex!S34:T35)*T56/4</f>
        <v>26572.183983819988</v>
      </c>
      <c r="U5" s="360">
        <f>SUM(BS_good_ex!T29:U31,BS_good_ex!T34:U35)*U56/4</f>
        <v>24402.794782091798</v>
      </c>
      <c r="V5" s="360">
        <f>SUM(BS_good_ex!U29:V31,BS_good_ex!U34:V35)*V56/4</f>
        <v>30087.255593412014</v>
      </c>
      <c r="W5" s="360">
        <f>SUM(BS_good_ex!V29:W31,BS_good_ex!V34:W35)*W56/4</f>
        <v>34350.601201902165</v>
      </c>
      <c r="X5" s="360">
        <f>SUM(BS_good_ex!W29:X31,BS_good_ex!W34:X35)*X56/4</f>
        <v>28666.140390581961</v>
      </c>
      <c r="Y5" s="360">
        <f>SUM(BS_good_ex!X29:Y31,BS_good_ex!X34:Y35)*Y56/4</f>
        <v>24402.794782091798</v>
      </c>
      <c r="Z5" s="360">
        <f>SUM(BS_good_ex!Y29:Z31,BS_good_ex!Y34:Z35)*Z56/4</f>
        <v>41456.177216052427</v>
      </c>
      <c r="AA5" s="360">
        <f>SUM(BS_good_ex!Z29:AA31,BS_good_ex!Z34:AA35)*AA56/4</f>
        <v>48561.753230202681</v>
      </c>
      <c r="AB5" s="360">
        <f>SUM(BS_good_ex!AA29:AB31,BS_good_ex!AA34:AB35)*AB56/4</f>
        <v>31508.370796242063</v>
      </c>
      <c r="AC5" s="360">
        <f>SUM(BS_good_ex!AB29:AC31,BS_good_ex!AB34:AC35)*AC56/4</f>
        <v>24402.794782091798</v>
      </c>
    </row>
    <row r="6" spans="1:36" x14ac:dyDescent="0.25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 x14ac:dyDescent="0.25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 x14ac:dyDescent="0.25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 x14ac:dyDescent="0.25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 x14ac:dyDescent="0.25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 x14ac:dyDescent="0.25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 x14ac:dyDescent="0.25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 x14ac:dyDescent="0.25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 x14ac:dyDescent="0.25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 x14ac:dyDescent="0.25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 x14ac:dyDescent="0.25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67878.485048958755</v>
      </c>
      <c r="W16" s="354">
        <f t="shared" si="0"/>
        <v>149493.11369583887</v>
      </c>
      <c r="X16" s="354">
        <f t="shared" si="0"/>
        <v>57953.312319590506</v>
      </c>
      <c r="Y16" s="354">
        <f t="shared" si="0"/>
        <v>63196.187082483862</v>
      </c>
      <c r="Z16" s="354">
        <f t="shared" si="0"/>
        <v>119625.98323349404</v>
      </c>
      <c r="AA16" s="354">
        <f t="shared" si="0"/>
        <v>238470.69264074598</v>
      </c>
      <c r="AB16" s="354">
        <f t="shared" si="0"/>
        <v>96369.186908886084</v>
      </c>
      <c r="AC16" s="354">
        <f t="shared" si="0"/>
        <v>101000.85052010731</v>
      </c>
    </row>
    <row r="17" spans="1:29" x14ac:dyDescent="0.25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 x14ac:dyDescent="0.25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>BS_good_ex!S5-BS_good_ex!T5</f>
        <v>37582.166666666672</v>
      </c>
      <c r="U18" s="320">
        <f>BS_good_ex!T5-BS_good_ex!U5</f>
        <v>-4996.4722222222335</v>
      </c>
      <c r="V18" s="320">
        <f>BS_good_ex!U5-BS_good_ex!V5</f>
        <v>-684.71759259258397</v>
      </c>
      <c r="W18" s="320">
        <f>BS_good_ex!V5-BS_good_ex!W5</f>
        <v>7420.1628086419805</v>
      </c>
      <c r="X18" s="320">
        <f>BS_good_ex!W5-BS_good_ex!X5</f>
        <v>-1816.3100565843633</v>
      </c>
      <c r="Y18" s="320">
        <f>BS_good_ex!X5-BS_good_ex!Y5</f>
        <v>-7689.0283993484336</v>
      </c>
      <c r="Z18" s="320">
        <f>BS_good_ex!Y5-BS_good_ex!Z5</f>
        <v>4969.3002007601754</v>
      </c>
      <c r="AA18" s="320">
        <f>BS_good_ex!Z5-BS_good_ex!AA5</f>
        <v>-466.1775435575837</v>
      </c>
      <c r="AB18" s="320">
        <f>BS_good_ex!AA5-BS_good_ex!AB5</f>
        <v>288.87156955320097</v>
      </c>
      <c r="AC18" s="320">
        <f>BS_good_ex!AB5-BS_good_ex!AC5</f>
        <v>451.13642991083907</v>
      </c>
    </row>
    <row r="19" spans="1:29" x14ac:dyDescent="0.25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>BS_good_ex!S6-BS_good_ex!T6</f>
        <v>9202</v>
      </c>
      <c r="U19" s="320">
        <f>BS_good_ex!T6-BS_good_ex!U6</f>
        <v>18372</v>
      </c>
      <c r="V19" s="320">
        <f>BS_good_ex!U6-BS_good_ex!V6</f>
        <v>-12679</v>
      </c>
      <c r="W19" s="320">
        <f>BS_good_ex!V6-BS_good_ex!W6</f>
        <v>-15586</v>
      </c>
      <c r="X19" s="320">
        <f>BS_good_ex!W6-BS_good_ex!X6</f>
        <v>9202</v>
      </c>
      <c r="Y19" s="320">
        <f>BS_good_ex!X6-BS_good_ex!Y6</f>
        <v>18372</v>
      </c>
      <c r="Z19" s="320">
        <f>BS_good_ex!Y6-BS_good_ex!Z6</f>
        <v>-12679</v>
      </c>
      <c r="AA19" s="320">
        <f>BS_good_ex!Z6-BS_good_ex!AA6</f>
        <v>-15586</v>
      </c>
      <c r="AB19" s="320">
        <f>BS_good_ex!AA6-BS_good_ex!AB6</f>
        <v>9202</v>
      </c>
      <c r="AC19" s="320">
        <f>BS_good_ex!AB6-BS_good_ex!AC6</f>
        <v>18372</v>
      </c>
    </row>
    <row r="20" spans="1:29" x14ac:dyDescent="0.25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 x14ac:dyDescent="0.25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>BS_good_ex!S8-BS_good_ex!T8</f>
        <v>59404.833333333343</v>
      </c>
      <c r="U21" s="320">
        <f>BS_good_ex!T8-BS_good_ex!U8</f>
        <v>-10349.361111111124</v>
      </c>
      <c r="V21" s="320">
        <f>BS_good_ex!U8-BS_good_ex!V8</f>
        <v>-90.08796296294895</v>
      </c>
      <c r="W21" s="320">
        <f>BS_good_ex!V8-BS_good_ex!W8</f>
        <v>2151.0640432098589</v>
      </c>
      <c r="X21" s="320">
        <f>BS_good_ex!W8-BS_good_ex!X8</f>
        <v>-3023.5919495884737</v>
      </c>
      <c r="Y21" s="320">
        <f>BS_good_ex!X8-BS_good_ex!Y8</f>
        <v>-5320.3572745198908</v>
      </c>
      <c r="Z21" s="320">
        <f>BS_good_ex!Y8-BS_good_ex!Z8</f>
        <v>7128.7498463934753</v>
      </c>
      <c r="AA21" s="320">
        <f>BS_good_ex!Z8-BS_good_ex!AA8</f>
        <v>-1583.930734763213</v>
      </c>
      <c r="AB21" s="320">
        <f>BS_good_ex!AA8-BS_good_ex!AB8</f>
        <v>-123.02567203849321</v>
      </c>
      <c r="AC21" s="320">
        <f>BS_good_ex!AB8-BS_good_ex!AC8</f>
        <v>-128.51529021782335</v>
      </c>
    </row>
    <row r="22" spans="1:29" x14ac:dyDescent="0.25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>BS_good_ex!S10-BS_good_ex!T10</f>
        <v>121.96098432164945</v>
      </c>
      <c r="U22" s="320">
        <f>BS_good_ex!T10-BS_good_ex!U10</f>
        <v>-1322.595382698124</v>
      </c>
      <c r="V22" s="320">
        <f>BS_good_ex!U10-BS_good_ex!V10</f>
        <v>-209017.31429925474</v>
      </c>
      <c r="W22" s="320">
        <f>BS_good_ex!V10-BS_good_ex!W10</f>
        <v>129519.96272179206</v>
      </c>
      <c r="X22" s="320">
        <f>BS_good_ex!W10-BS_good_ex!X10</f>
        <v>78297.474088157338</v>
      </c>
      <c r="Y22" s="320">
        <f>BS_good_ex!X10-BS_good_ex!Y10</f>
        <v>-21665.574278523203</v>
      </c>
      <c r="Z22" s="320">
        <f>BS_good_ex!Y10-BS_good_ex!Z10</f>
        <v>-372855.89434112952</v>
      </c>
      <c r="AA22" s="320">
        <f>BS_good_ex!Z10-BS_good_ex!AA10</f>
        <v>231044.40748158502</v>
      </c>
      <c r="AB22" s="320">
        <f>BS_good_ex!AA10-BS_good_ex!AB10</f>
        <v>139671.08334381372</v>
      </c>
      <c r="AC22" s="320">
        <f>BS_good_ex!AB10-BS_good_ex!AC10</f>
        <v>2140.4035157307735</v>
      </c>
    </row>
    <row r="23" spans="1:29" x14ac:dyDescent="0.25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>BS_good_ex!S9-BS_good_ex!T9</f>
        <v>313705.98146473453</v>
      </c>
      <c r="U23" s="320">
        <f>BS_good_ex!T9-BS_good_ex!U9</f>
        <v>105729.23935577643</v>
      </c>
      <c r="V23" s="320">
        <f>BS_good_ex!U9-BS_good_ex!V9</f>
        <v>-236936.56114238079</v>
      </c>
      <c r="W23" s="320">
        <f>BS_good_ex!V9-BS_good_ex!W9</f>
        <v>-28581.922071648529</v>
      </c>
      <c r="X23" s="320">
        <f>BS_good_ex!W9-BS_good_ex!X9</f>
        <v>79319.866814044479</v>
      </c>
      <c r="Y23" s="320">
        <f>BS_good_ex!X9-BS_good_ex!Y9</f>
        <v>79083.90301516949</v>
      </c>
      <c r="Z23" s="320">
        <f>BS_good_ex!Y9-BS_good_ex!Z9</f>
        <v>-313719.76694729272</v>
      </c>
      <c r="AA23" s="320">
        <f>BS_good_ex!Z9-BS_good_ex!AA9</f>
        <v>-45450.513083404629</v>
      </c>
      <c r="AB23" s="320">
        <f>BS_good_ex!AA9-BS_good_ex!AB9</f>
        <v>148992.64348669915</v>
      </c>
      <c r="AC23" s="320">
        <f>BS_good_ex!AB9-BS_good_ex!AC9</f>
        <v>210177.6365439982</v>
      </c>
    </row>
    <row r="24" spans="1:29" x14ac:dyDescent="0.25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>BS_good_ex!S27-BS_good_ex!T27</f>
        <v>359.66666666666424</v>
      </c>
      <c r="U24" s="320">
        <f>BS_good_ex!T27-BS_good_ex!U27</f>
        <v>-365.22222222221899</v>
      </c>
      <c r="V24" s="320">
        <f>BS_good_ex!U27-BS_good_ex!V27</f>
        <v>-1249.0925925925985</v>
      </c>
      <c r="W24" s="320">
        <f>BS_good_ex!V27-BS_good_ex!W27</f>
        <v>281.058641975309</v>
      </c>
      <c r="X24" s="320">
        <f>BS_good_ex!W27-BS_good_ex!X27</f>
        <v>-124.76491769547283</v>
      </c>
      <c r="Y24" s="320">
        <f>BS_good_ex!X27-BS_good_ex!Y27</f>
        <v>602.9409293552817</v>
      </c>
      <c r="Z24" s="320">
        <f>BS_good_ex!Y27-BS_good_ex!Z27</f>
        <v>-82.568915752177418</v>
      </c>
      <c r="AA24" s="320">
        <f>BS_good_ex!Z27-BS_good_ex!AA27</f>
        <v>-156.27484615530557</v>
      </c>
      <c r="AB24" s="320">
        <f>BS_good_ex!AA27-BS_good_ex!AB27</f>
        <v>-121.45028347749758</v>
      </c>
      <c r="AC24" s="320">
        <f>BS_good_ex!AB27-BS_good_ex!AC27</f>
        <v>66.490101375020458</v>
      </c>
    </row>
    <row r="25" spans="1:29" x14ac:dyDescent="0.25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>BS_good_ex!S28-BS_good_ex!T28</f>
        <v>16395.333333333328</v>
      </c>
      <c r="U25" s="320">
        <f>BS_good_ex!T28-BS_good_ex!U28</f>
        <v>-3127.2777777777665</v>
      </c>
      <c r="V25" s="320">
        <f>BS_good_ex!U28-BS_good_ex!V28</f>
        <v>-134.49074074074451</v>
      </c>
      <c r="W25" s="320">
        <f>BS_good_ex!V28-BS_good_ex!W28</f>
        <v>853.09413580247201</v>
      </c>
      <c r="X25" s="320">
        <f>BS_good_ex!W28-BS_good_ex!X28</f>
        <v>-3260.3901748971257</v>
      </c>
      <c r="Y25" s="320">
        <f>BS_good_ex!X28-BS_good_ex!Y28</f>
        <v>525.37812928669155</v>
      </c>
      <c r="Z25" s="320">
        <f>BS_good_ex!Y28-BS_good_ex!Z28</f>
        <v>1875.2744841678068</v>
      </c>
      <c r="AA25" s="320">
        <f>BS_good_ex!Z28-BS_good_ex!AA28</f>
        <v>-544.73532402643468</v>
      </c>
      <c r="AB25" s="320">
        <f>BS_good_ex!AA28-BS_good_ex!AB28</f>
        <v>-114.31158173456788</v>
      </c>
      <c r="AC25" s="320">
        <f>BS_good_ex!AB28-BS_good_ex!AC28</f>
        <v>-110.94838856685965</v>
      </c>
    </row>
    <row r="26" spans="1:29" x14ac:dyDescent="0.25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148786.97350842413</v>
      </c>
      <c r="V26" s="320">
        <f t="shared" si="1"/>
        <v>-392912.77928156563</v>
      </c>
      <c r="W26" s="320">
        <f t="shared" si="1"/>
        <v>245550.53397561205</v>
      </c>
      <c r="X26" s="320">
        <f t="shared" si="1"/>
        <v>216547.59612302689</v>
      </c>
      <c r="Y26" s="320">
        <f t="shared" si="1"/>
        <v>127105.44920390382</v>
      </c>
      <c r="Z26" s="320">
        <f t="shared" si="1"/>
        <v>-565737.9224393589</v>
      </c>
      <c r="AA26" s="320">
        <f t="shared" si="1"/>
        <v>405727.46859042381</v>
      </c>
      <c r="AB26" s="320">
        <f t="shared" si="1"/>
        <v>394164.9977717016</v>
      </c>
      <c r="AC26" s="320">
        <f t="shared" si="1"/>
        <v>331969.05343233747</v>
      </c>
    </row>
    <row r="27" spans="1:29" x14ac:dyDescent="0.25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-30087.255593412014</v>
      </c>
      <c r="W27" s="320">
        <f t="shared" si="2"/>
        <v>-34350.601201902165</v>
      </c>
      <c r="X27" s="320">
        <f t="shared" si="2"/>
        <v>-28666.140390581961</v>
      </c>
      <c r="Y27" s="320">
        <f t="shared" si="2"/>
        <v>-24402.794782091798</v>
      </c>
      <c r="Z27" s="320">
        <f t="shared" si="2"/>
        <v>-41456.177216052427</v>
      </c>
      <c r="AA27" s="320">
        <f t="shared" si="2"/>
        <v>-48561.753230202681</v>
      </c>
      <c r="AB27" s="320">
        <f t="shared" si="2"/>
        <v>-31508.370796242063</v>
      </c>
      <c r="AC27" s="320">
        <f t="shared" si="2"/>
        <v>-24402.794782091798</v>
      </c>
    </row>
    <row r="28" spans="1:29" x14ac:dyDescent="0.25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-1324.1450759842894</v>
      </c>
      <c r="W28" s="359">
        <f t="shared" si="3"/>
        <v>-5271.5502597063823</v>
      </c>
      <c r="X28" s="359">
        <f t="shared" si="3"/>
        <v>-470.85209573087872</v>
      </c>
      <c r="Y28" s="359">
        <f t="shared" si="3"/>
        <v>-974.63778056875594</v>
      </c>
      <c r="Z28" s="359">
        <f t="shared" si="3"/>
        <v>-3091.5929726079144</v>
      </c>
      <c r="AA28" s="359">
        <f t="shared" si="3"/>
        <v>-9136.5607361916664</v>
      </c>
      <c r="AB28" s="359">
        <f t="shared" si="3"/>
        <v>-2394.8093654546869</v>
      </c>
      <c r="AC28" s="359">
        <f t="shared" si="3"/>
        <v>-3039.2642059365253</v>
      </c>
    </row>
    <row r="29" spans="1:29" x14ac:dyDescent="0.25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123979.5283868441</v>
      </c>
      <c r="V29" s="354">
        <f t="shared" si="4"/>
        <v>-424324.17995096196</v>
      </c>
      <c r="W29" s="354">
        <f t="shared" si="4"/>
        <v>205928.38251400349</v>
      </c>
      <c r="X29" s="354">
        <f t="shared" si="4"/>
        <v>187410.60363671408</v>
      </c>
      <c r="Y29" s="354">
        <f t="shared" si="4"/>
        <v>101728.01664124326</v>
      </c>
      <c r="Z29" s="354">
        <f t="shared" si="4"/>
        <v>-610285.69262801926</v>
      </c>
      <c r="AA29" s="354">
        <f t="shared" si="4"/>
        <v>348029.15462402941</v>
      </c>
      <c r="AB29" s="354">
        <f t="shared" si="4"/>
        <v>360261.8176100048</v>
      </c>
      <c r="AC29" s="354">
        <f t="shared" si="4"/>
        <v>304526.99444430915</v>
      </c>
    </row>
    <row r="30" spans="1:29" x14ac:dyDescent="0.25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 x14ac:dyDescent="0.25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 x14ac:dyDescent="0.25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 x14ac:dyDescent="0.25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 x14ac:dyDescent="0.25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 x14ac:dyDescent="0.25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>
        <v>-150000</v>
      </c>
      <c r="X35" s="320"/>
      <c r="Y35" s="320"/>
      <c r="Z35" s="320"/>
      <c r="AA35" s="320"/>
      <c r="AB35" s="320"/>
      <c r="AC35" s="320"/>
    </row>
    <row r="36" spans="1:29" x14ac:dyDescent="0.25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>BS_good_ex!S12-BS_good_ex!T12</f>
        <v>0</v>
      </c>
      <c r="U36" s="320">
        <f>BS_good_ex!T12-BS_good_ex!U12</f>
        <v>0</v>
      </c>
      <c r="V36" s="320">
        <f>BS_good_ex!U12-BS_good_ex!V12</f>
        <v>0</v>
      </c>
      <c r="W36" s="320">
        <f>BS_good_ex!V12-BS_good_ex!W12</f>
        <v>0</v>
      </c>
      <c r="X36" s="320">
        <f>BS_good_ex!W12-BS_good_ex!X12</f>
        <v>0</v>
      </c>
      <c r="Y36" s="320">
        <f>BS_good_ex!X12-BS_good_ex!Y12</f>
        <v>0</v>
      </c>
      <c r="Z36" s="320">
        <f>BS_good_ex!Y12-BS_good_ex!Z12</f>
        <v>0</v>
      </c>
      <c r="AA36" s="320">
        <f>BS_good_ex!Z12-BS_good_ex!AA12</f>
        <v>0</v>
      </c>
      <c r="AB36" s="320">
        <f>BS_good_ex!AA12-BS_good_ex!AB12</f>
        <v>0</v>
      </c>
      <c r="AC36" s="320">
        <f>BS_good_ex!AB12-BS_good_ex!AC12</f>
        <v>0</v>
      </c>
    </row>
    <row r="37" spans="1:29" x14ac:dyDescent="0.25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 x14ac:dyDescent="0.25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 x14ac:dyDescent="0.25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-180000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 x14ac:dyDescent="0.25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 x14ac:dyDescent="0.25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 x14ac:dyDescent="0.25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>SUM(BS_good_ex!T29:T30)-SUM(BS_good_ex!S29:S30)</f>
        <v>-569327</v>
      </c>
      <c r="U42" s="320">
        <f>SUM(BS_good_ex!U29:U30)-SUM(BS_good_ex!T29:T30)</f>
        <v>0</v>
      </c>
      <c r="V42" s="320">
        <f>SUM(BS_good_ex!V29:V30)-SUM(BS_good_ex!U29:U30)</f>
        <v>200000</v>
      </c>
      <c r="W42" s="320">
        <f>SUM(BS_good_ex!W29:W30)-SUM(BS_good_ex!V29:V30)</f>
        <v>-50000</v>
      </c>
      <c r="X42" s="320">
        <f>SUM(BS_good_ex!X29:X30)-SUM(BS_good_ex!W29:W30)</f>
        <v>-150000</v>
      </c>
      <c r="Y42" s="320">
        <f>SUM(BS_good_ex!Y29:Y30)-SUM(BS_good_ex!X29:X30)</f>
        <v>0</v>
      </c>
      <c r="Z42" s="320">
        <f>SUM(BS_good_ex!Z29:Z30)-SUM(BS_good_ex!Y29:Y30)</f>
        <v>600000</v>
      </c>
      <c r="AA42" s="320">
        <f>SUM(BS_good_ex!AA29:AA30)-SUM(BS_good_ex!Z29:Z30)</f>
        <v>-350000</v>
      </c>
      <c r="AB42" s="320">
        <f>SUM(BS_good_ex!AB29:AB30)-SUM(BS_good_ex!AA29:AA30)</f>
        <v>-250000</v>
      </c>
      <c r="AC42" s="320">
        <f>SUM(BS_good_ex!AC29:AC30)-SUM(BS_good_ex!AB29:AB30)</f>
        <v>0</v>
      </c>
    </row>
    <row r="43" spans="1:29" x14ac:dyDescent="0.25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 x14ac:dyDescent="0.25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 x14ac:dyDescent="0.25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 x14ac:dyDescent="0.25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 x14ac:dyDescent="0.25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 x14ac:dyDescent="0.25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200000</v>
      </c>
      <c r="W48" s="354">
        <f t="shared" si="7"/>
        <v>-50000</v>
      </c>
      <c r="X48" s="354">
        <f t="shared" si="7"/>
        <v>-150000</v>
      </c>
      <c r="Y48" s="354">
        <f t="shared" si="7"/>
        <v>-19921</v>
      </c>
      <c r="Z48" s="354">
        <f t="shared" si="7"/>
        <v>600000</v>
      </c>
      <c r="AA48" s="354">
        <f t="shared" si="7"/>
        <v>-350000</v>
      </c>
      <c r="AB48" s="354">
        <f t="shared" si="7"/>
        <v>-250000</v>
      </c>
      <c r="AC48" s="354">
        <f t="shared" si="7"/>
        <v>-19921</v>
      </c>
    </row>
    <row r="49" spans="1:36" x14ac:dyDescent="0.25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 x14ac:dyDescent="0.25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74058.528386844104</v>
      </c>
      <c r="V50" s="353">
        <f t="shared" si="8"/>
        <v>-464324.17995096196</v>
      </c>
      <c r="W50" s="353">
        <f t="shared" si="8"/>
        <v>-24071.61748599651</v>
      </c>
      <c r="X50" s="353">
        <f t="shared" si="8"/>
        <v>7410.6036367140769</v>
      </c>
      <c r="Y50" s="353">
        <f t="shared" si="8"/>
        <v>51807.016641243259</v>
      </c>
      <c r="Z50" s="353">
        <f t="shared" si="8"/>
        <v>-20285.692628019257</v>
      </c>
      <c r="AA50" s="353">
        <f t="shared" si="8"/>
        <v>-11970.845375970588</v>
      </c>
      <c r="AB50" s="353">
        <f t="shared" si="8"/>
        <v>100261.8176100048</v>
      </c>
      <c r="AC50" s="353">
        <f t="shared" si="8"/>
        <v>274605.99444430915</v>
      </c>
      <c r="AD50" s="311"/>
      <c r="AE50" s="311"/>
      <c r="AF50" s="311"/>
      <c r="AG50" s="311"/>
      <c r="AH50" s="311"/>
      <c r="AI50" s="311"/>
      <c r="AJ50" s="311"/>
    </row>
    <row r="51" spans="1:36" x14ac:dyDescent="0.25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592964.99581424601</v>
      </c>
      <c r="W51" s="320">
        <f t="shared" si="9"/>
        <v>128640.81586328405</v>
      </c>
      <c r="X51" s="320">
        <f t="shared" si="9"/>
        <v>104569.19837728754</v>
      </c>
      <c r="Y51" s="320">
        <f t="shared" si="9"/>
        <v>111979.80201400162</v>
      </c>
      <c r="Z51" s="320">
        <f t="shared" si="9"/>
        <v>163786.81865524489</v>
      </c>
      <c r="AA51" s="320">
        <f t="shared" si="9"/>
        <v>143501.12602722563</v>
      </c>
      <c r="AB51" s="320">
        <f t="shared" si="9"/>
        <v>131530.28065125505</v>
      </c>
      <c r="AC51" s="320">
        <f t="shared" si="9"/>
        <v>231792.09826125985</v>
      </c>
    </row>
    <row r="52" spans="1:36" x14ac:dyDescent="0.25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592964.99581424601</v>
      </c>
      <c r="V52" s="320">
        <f t="shared" si="10"/>
        <v>128640.81586328405</v>
      </c>
      <c r="W52" s="320">
        <f t="shared" si="10"/>
        <v>104569.19837728754</v>
      </c>
      <c r="X52" s="320">
        <f t="shared" si="10"/>
        <v>111979.80201400162</v>
      </c>
      <c r="Y52" s="320">
        <f t="shared" si="10"/>
        <v>163786.81865524489</v>
      </c>
      <c r="Z52" s="320">
        <f t="shared" si="10"/>
        <v>143501.12602722563</v>
      </c>
      <c r="AA52" s="320">
        <f t="shared" si="10"/>
        <v>131530.28065125505</v>
      </c>
      <c r="AB52" s="320">
        <f t="shared" si="10"/>
        <v>231792.09826125985</v>
      </c>
      <c r="AC52" s="320">
        <f t="shared" si="10"/>
        <v>506398.092705569</v>
      </c>
    </row>
    <row r="54" spans="1:36" x14ac:dyDescent="0.25">
      <c r="D54" s="316">
        <f>D2+D4+D5-EBITDA_good_ex!D57*1000</f>
        <v>-2398</v>
      </c>
      <c r="E54" s="316">
        <f>E2+E4+E5-EBITDA_good_ex!E57*1000</f>
        <v>188226</v>
      </c>
      <c r="F54" s="316">
        <f>F2+F4+F5+F9+F12-EBITDA_good_ex!F57*1000</f>
        <v>-3776.0000000000036</v>
      </c>
      <c r="G54" s="316">
        <f>G2+G4+G5+G9+G12-EBITDA_good_ex!G57*1000</f>
        <v>-21276</v>
      </c>
      <c r="H54" s="316">
        <f>H2+H4+H5+H9+H12-EBITDA_good_ex!H57*1000</f>
        <v>-25711.999999999993</v>
      </c>
      <c r="I54" s="316">
        <f>I2+I4+I5+I9+I12-EBITDA_good_ex!I57*1000</f>
        <v>-27602.999999999971</v>
      </c>
      <c r="J54" s="316">
        <f>J2+J4+J5+J9+J12-EBITDA_good_ex!J57*1000</f>
        <v>-9114.0000000000146</v>
      </c>
      <c r="K54" s="316">
        <f>K2+K4+K5+K9+K12-EBITDA_good_ex!K57*1000</f>
        <v>-11873</v>
      </c>
      <c r="L54" s="316">
        <f>L2+L4+L5+L9+L12-EBITDA_good_ex!L57*1000</f>
        <v>-35438.000000000015</v>
      </c>
      <c r="M54" s="316">
        <f>M2+M4+M5+M9+M12-EBITDA_good_ex!M57*1000</f>
        <v>-17917.999999999993</v>
      </c>
      <c r="N54" s="316">
        <f>N2+N4+N5+N9+N12-EBITDA_good_ex!N57*1000</f>
        <v>3145</v>
      </c>
      <c r="O54" s="316">
        <f>O2+O4+O5+O9+O12-EBITDA_good_ex!O57*1000</f>
        <v>9467</v>
      </c>
      <c r="P54" s="316">
        <f>P2+P4+P5+P9+P12-EBITDA_good_ex!P57*1000</f>
        <v>19667.999999999985</v>
      </c>
      <c r="Q54" s="316">
        <f>Q2+Q4+Q5+Q9+Q12-EBITDA_good_ex!Q57*1000</f>
        <v>-61193.000000000015</v>
      </c>
      <c r="R54" s="316">
        <f>R2+R4+R5+R9+R12-EBITDA_good_ex!R57*1000</f>
        <v>5579</v>
      </c>
      <c r="S54" s="316">
        <f>S2+S4+S5+S9+S12-EBITDA_good_ex!S57*1000</f>
        <v>370.00000000001455</v>
      </c>
    </row>
    <row r="56" spans="1:36" x14ac:dyDescent="0.25">
      <c r="A56" t="s">
        <v>387</v>
      </c>
      <c r="G56" s="13">
        <f>G5*2/SUM(BS_good_ex!F29:G31,BS_good_ex!F34:G35)*4</f>
        <v>8.6968458531091281E-2</v>
      </c>
      <c r="H56" s="13">
        <f>H5*2/SUM(BS_good_ex!G29:H31,BS_good_ex!G34:H35)*4</f>
        <v>7.8536878779784269E-2</v>
      </c>
      <c r="I56" s="13">
        <f>I5*2/SUM(BS_good_ex!H29:I31,BS_good_ex!H34:I35)*4</f>
        <v>8.4503311709976853E-2</v>
      </c>
      <c r="J56" s="13">
        <f>J5*2/SUM(BS_good_ex!I29:J31,BS_good_ex!I34:J35)*4</f>
        <v>0.10215408328367011</v>
      </c>
      <c r="K56" s="13">
        <f>K5*2/SUM(BS_good_ex!J29:K31,BS_good_ex!J34:K35)*4</f>
        <v>0.1014430632947564</v>
      </c>
      <c r="L56" s="13">
        <f>L5*2/SUM(BS_good_ex!K29:L31,BS_good_ex!K34:L35)*4</f>
        <v>0.10315769144107896</v>
      </c>
      <c r="M56" s="13">
        <f>M5*2/SUM(BS_good_ex!L29:M31,BS_good_ex!L34:M35)*4</f>
        <v>9.7962658720392698E-2</v>
      </c>
      <c r="N56" s="13">
        <f>N5*2/SUM(BS_good_ex!M29:N31,BS_good_ex!M34:N35)*4</f>
        <v>9.7727277668703927E-2</v>
      </c>
      <c r="O56" s="13">
        <f>O5*2/SUM(BS_good_ex!N29:O31,BS_good_ex!N34:O35)*4</f>
        <v>0.14103418233997847</v>
      </c>
      <c r="P56" s="13">
        <f>P5*2/SUM(BS_good_ex!O29:P31,BS_good_ex!O34:P35)*4</f>
        <v>0.1178298241463607</v>
      </c>
      <c r="Q56" s="13">
        <f>Q5*2/SUM(BS_good_ex!P29:Q31,BS_good_ex!P34:Q35)*4</f>
        <v>0.14828041561185512</v>
      </c>
      <c r="R56" s="13">
        <f>R5*2/SUM(BS_good_ex!Q29:R31,BS_good_ex!Q34:R35)*4</f>
        <v>0.11870667234311194</v>
      </c>
      <c r="S56" s="13">
        <f>S5*2/SUM(BS_good_ex!R29:S31,BS_good_ex!R34:S35)*4</f>
        <v>0.11368921622640416</v>
      </c>
      <c r="T56" s="13">
        <f>($T$41*0.0875+(SUM(BS_good_ex!S29:T31,BS_good_ex!S34:T35)/2-$T$41)*$S$56)/SUM(BS_good_ex!S29:T31,BS_good_ex!S34:T35)*2</f>
        <v>9.1467442947508609E-2</v>
      </c>
      <c r="U56" s="13">
        <f>($T$41*0.0875+(SUM(BS_good_ex!T29:U31,BS_good_ex!T34:U35)/2-$T$41)*$S$56)/SUM(BS_good_ex!T29:U31,BS_good_ex!T34:U35)*2</f>
        <v>8.9905222681859645E-2</v>
      </c>
      <c r="V56" s="13">
        <f>($T$41*0.0875+(SUM(BS_good_ex!U29:V31,BS_good_ex!U34:V35)/2-$T$41)*$S$56)/SUM(BS_good_ex!U29:V31,BS_good_ex!U34:V35)*2</f>
        <v>9.3604961588324639E-2</v>
      </c>
      <c r="W56" s="13">
        <f>($T$41*0.0875+(SUM(BS_good_ex!V29:W31,BS_good_ex!V34:W35)/2-$T$41)*$S$56)/SUM(BS_good_ex!V29:W31,BS_good_ex!V34:W35)*2</f>
        <v>9.5703319891181984E-2</v>
      </c>
      <c r="X56" s="13">
        <f>($T$41*0.0875+(SUM(BS_good_ex!W29:X31,BS_good_ex!W34:X35)/2-$T$41)*$S$56)/SUM(BS_good_ex!W29:X31,BS_good_ex!W34:X35)*2</f>
        <v>9.2792302383021164E-2</v>
      </c>
      <c r="Y56" s="13">
        <f>($T$41*0.0875+(SUM(BS_good_ex!X29:Y31,BS_good_ex!X34:Y35)/2-$T$41)*$S$56)/SUM(BS_good_ex!X29:Y31,BS_good_ex!X34:Y35)*2</f>
        <v>8.9905222681859645E-2</v>
      </c>
      <c r="Z56" s="13">
        <f>($T$41*0.0875+(SUM(BS_good_ex!Y29:Z31,BS_good_ex!Y34:Z35)/2-$T$41)*$S$56)/SUM(BS_good_ex!Y29:Z31,BS_good_ex!Y34:Z35)*2</f>
        <v>9.8370723388223918E-2</v>
      </c>
      <c r="AA56" s="13">
        <f>($T$41*0.0875+(SUM(BS_good_ex!Z29:AA31,BS_good_ex!Z34:AA35)/2-$T$41)*$S$56)/SUM(BS_good_ex!Z29:AA31,BS_good_ex!Z34:AA35)*2</f>
        <v>0.10034912885843077</v>
      </c>
      <c r="AB56" s="13">
        <f>($T$41*0.0875+(SUM(BS_good_ex!AA29:AB31,BS_good_ex!AA34:AB35)/2-$T$41)*$S$56)/SUM(BS_good_ex!AA29:AB31,BS_good_ex!AA34:AB35)*2</f>
        <v>9.4356779893396373E-2</v>
      </c>
      <c r="AC56" s="13">
        <f>($T$41*0.0875+(SUM(BS_good_ex!AB29:AC31,BS_good_ex!AB34:AC35)/2-$T$41)*$S$56)/SUM(BS_good_ex!AB29:AC31,BS_good_ex!AB34:AC35)*2</f>
        <v>8.9905222681859645E-2</v>
      </c>
    </row>
    <row r="57" spans="1:36" x14ac:dyDescent="0.25">
      <c r="A57" t="s">
        <v>388</v>
      </c>
      <c r="G57" s="13">
        <f>G4/SUM(BS_good_ex!F15:F18)*4</f>
        <v>8.8787309326696803E-2</v>
      </c>
      <c r="H57" s="13">
        <f>H4/SUM(BS_good_ex!G15:G18)*4</f>
        <v>7.139797529960118E-2</v>
      </c>
      <c r="I57" s="13">
        <f>I4/SUM(BS_good_ex!H15:H18)*4</f>
        <v>8.7011649100562638E-2</v>
      </c>
      <c r="J57" s="13">
        <f>J4/SUM(BS_good_ex!I15:I18)*4</f>
        <v>8.2437213481855176E-2</v>
      </c>
      <c r="K57" s="13">
        <f>K4/SUM(BS_good_ex!J15:J18)*4</f>
        <v>7.8117630251200429E-2</v>
      </c>
      <c r="L57" s="13">
        <f>L4/SUM(BS_good_ex!K15:K18)*4</f>
        <v>7.0456379510024272E-2</v>
      </c>
      <c r="M57" s="13">
        <f>M4/SUM(BS_good_ex!L15:L18)*4</f>
        <v>7.0346565847511033E-2</v>
      </c>
      <c r="N57" s="13">
        <f>N4/SUM(BS_good_ex!M15:M18)*4</f>
        <v>8.1373621484687811E-2</v>
      </c>
      <c r="O57" s="13">
        <f>O4/SUM(BS_good_ex!N15:N18)*4</f>
        <v>8.2050205206276386E-2</v>
      </c>
      <c r="P57" s="13">
        <f>P4/SUM(BS_good_ex!O15:O18)*4</f>
        <v>8.1418543259967238E-2</v>
      </c>
      <c r="Q57" s="13">
        <f>Q4/SUM(BS_good_ex!P15:P18)*4</f>
        <v>7.9063164419443208E-2</v>
      </c>
      <c r="R57" s="13">
        <f>R4/SUM(BS_good_ex!Q15:Q18)*4</f>
        <v>7.3951938443642257E-2</v>
      </c>
      <c r="S57" s="13">
        <f>S4/SUM(BS_good_ex!R15:R18)*4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 x14ac:dyDescent="0.25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23197.060034835889</v>
      </c>
      <c r="W58" s="362">
        <f t="shared" si="11"/>
        <v>92349.750845967385</v>
      </c>
      <c r="X58" s="362">
        <f t="shared" si="11"/>
        <v>8248.6311585446529</v>
      </c>
      <c r="Y58" s="362">
        <f t="shared" si="11"/>
        <v>17074.210007741542</v>
      </c>
      <c r="Z58" s="362">
        <f t="shared" si="11"/>
        <v>54160.128742353474</v>
      </c>
      <c r="AA58" s="362">
        <f t="shared" si="11"/>
        <v>160059.00845254291</v>
      </c>
      <c r="AB58" s="362">
        <f t="shared" si="11"/>
        <v>41953.512217039519</v>
      </c>
      <c r="AC58" s="362">
        <f t="shared" si="11"/>
        <v>53243.406274369503</v>
      </c>
    </row>
    <row r="59" spans="1:36" x14ac:dyDescent="0.25">
      <c r="Q59" s="316">
        <f>SUM(N58:Q58)</f>
        <v>228853</v>
      </c>
      <c r="U59" s="316">
        <f>SUM(R58:U58)</f>
        <v>182243.37444419478</v>
      </c>
      <c r="Y59" s="316">
        <f>SUM(V58:Y58)</f>
        <v>140869.65204708948</v>
      </c>
      <c r="AC59" s="316">
        <f>SUM(Z58:AC58)</f>
        <v>309416.05568630539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7"/>
  <sheetViews>
    <sheetView workbookViewId="0">
      <pane xSplit="1" ySplit="1" topLeftCell="B23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B57" sqref="B57"/>
    </sheetView>
  </sheetViews>
  <sheetFormatPr defaultRowHeight="13.2" outlineLevelCol="1" x14ac:dyDescent="0.25"/>
  <cols>
    <col min="1" max="1" width="55.88671875" bestFit="1" customWidth="1"/>
    <col min="2" max="3" width="8.88671875" customWidth="1" outlineLevel="1"/>
    <col min="4" max="5" width="10.109375" customWidth="1" outlineLevel="1"/>
    <col min="6" max="19" width="10.109375" bestFit="1" customWidth="1"/>
    <col min="20" max="20" width="9.109375" bestFit="1" customWidth="1"/>
  </cols>
  <sheetData>
    <row r="1" spans="1:29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30" t="s">
        <v>284</v>
      </c>
    </row>
    <row r="3" spans="1:29" x14ac:dyDescent="0.25">
      <c r="A3" s="30" t="s">
        <v>285</v>
      </c>
    </row>
    <row r="4" spans="1:29" x14ac:dyDescent="0.25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>CF_good_ex!T52</f>
        <v>518906.46742740186</v>
      </c>
      <c r="U4" s="357">
        <f>CF_good_ex!U52</f>
        <v>592964.99581424601</v>
      </c>
      <c r="V4" s="357">
        <f>CF_good_ex!V52</f>
        <v>128640.81586328405</v>
      </c>
      <c r="W4" s="357">
        <f>CF_good_ex!W52</f>
        <v>104569.19837728754</v>
      </c>
      <c r="X4" s="357">
        <f>CF_good_ex!X52</f>
        <v>111979.80201400162</v>
      </c>
      <c r="Y4" s="357">
        <f>CF_good_ex!Y52</f>
        <v>163786.81865524489</v>
      </c>
      <c r="Z4" s="357">
        <f>CF_good_ex!Z52</f>
        <v>143501.12602722563</v>
      </c>
      <c r="AA4" s="357">
        <f>CF_good_ex!AA52</f>
        <v>131530.28065125505</v>
      </c>
      <c r="AB4" s="357">
        <f>CF_good_ex!AB52</f>
        <v>231792.09826125985</v>
      </c>
      <c r="AC4" s="357">
        <f>CF_good_ex!AC52</f>
        <v>506398.092705569</v>
      </c>
    </row>
    <row r="5" spans="1:29" x14ac:dyDescent="0.25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 x14ac:dyDescent="0.25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 x14ac:dyDescent="0.25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 x14ac:dyDescent="0.25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 x14ac:dyDescent="0.25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>'bio &amp; inventory'!Q22</f>
        <v>302390.01853526547</v>
      </c>
      <c r="U9" s="360">
        <f>'bio &amp; inventory'!R22</f>
        <v>196660.77917948904</v>
      </c>
      <c r="V9" s="360">
        <f>'bio &amp; inventory'!S22</f>
        <v>433597.34032186982</v>
      </c>
      <c r="W9" s="360">
        <f>'bio &amp; inventory'!T22</f>
        <v>462179.26239351835</v>
      </c>
      <c r="X9" s="360">
        <f>'bio &amp; inventory'!U22</f>
        <v>382859.39557947387</v>
      </c>
      <c r="Y9" s="360">
        <f>'bio &amp; inventory'!V22</f>
        <v>303775.49256430438</v>
      </c>
      <c r="Z9" s="360">
        <f>'bio &amp; inventory'!W22</f>
        <v>617495.25951159711</v>
      </c>
      <c r="AA9" s="360">
        <f>'bio &amp; inventory'!X22</f>
        <v>662945.77259500173</v>
      </c>
      <c r="AB9" s="360">
        <f>'bio &amp; inventory'!Y22</f>
        <v>513953.12910830259</v>
      </c>
      <c r="AC9" s="360">
        <f>'bio &amp; inventory'!Z22</f>
        <v>303775.49256430438</v>
      </c>
    </row>
    <row r="10" spans="1:29" x14ac:dyDescent="0.25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>'bio &amp; inventory'!Q20</f>
        <v>27848.039015678351</v>
      </c>
      <c r="U10" s="360">
        <f>'bio &amp; inventory'!R20</f>
        <v>29170.634398376475</v>
      </c>
      <c r="V10" s="360">
        <f>'bio &amp; inventory'!S20</f>
        <v>238187.94869763122</v>
      </c>
      <c r="W10" s="360">
        <f>'bio &amp; inventory'!T20</f>
        <v>108667.98597583915</v>
      </c>
      <c r="X10" s="360">
        <f>'bio &amp; inventory'!U20</f>
        <v>30370.511887681812</v>
      </c>
      <c r="Y10" s="360">
        <f>'bio &amp; inventory'!V20</f>
        <v>52036.086166205016</v>
      </c>
      <c r="Z10" s="360">
        <f>'bio &amp; inventory'!W20</f>
        <v>424891.98050733452</v>
      </c>
      <c r="AA10" s="360">
        <f>'bio &amp; inventory'!X20</f>
        <v>193847.5730257495</v>
      </c>
      <c r="AB10" s="360">
        <f>'bio &amp; inventory'!Y20</f>
        <v>54176.489681935789</v>
      </c>
      <c r="AC10" s="360">
        <f>'bio &amp; inventory'!Z20</f>
        <v>52036.086166205016</v>
      </c>
    </row>
    <row r="11" spans="1:29" x14ac:dyDescent="0.25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 x14ac:dyDescent="0.25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 x14ac:dyDescent="0.25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1148021.7113642665</v>
      </c>
      <c r="W13" s="320">
        <f t="shared" si="5"/>
        <v>1028903.9876417068</v>
      </c>
      <c r="X13" s="320">
        <f t="shared" si="5"/>
        <v>874380.84052539594</v>
      </c>
      <c r="Y13" s="320">
        <f t="shared" si="5"/>
        <v>863483.55027069943</v>
      </c>
      <c r="Z13" s="320">
        <f t="shared" si="5"/>
        <v>1530567.3777452598</v>
      </c>
      <c r="AA13" s="320">
        <f t="shared" si="5"/>
        <v>1350464.5010320707</v>
      </c>
      <c r="AB13" s="320">
        <f t="shared" si="5"/>
        <v>1152664.9366789807</v>
      </c>
      <c r="AC13" s="320">
        <f t="shared" si="5"/>
        <v>1196259.6599212277</v>
      </c>
    </row>
    <row r="14" spans="1:29" x14ac:dyDescent="0.25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 x14ac:dyDescent="0.25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>S15-CF_good_ex!T31-CF_good_ex!T4</f>
        <v>539048.97499999998</v>
      </c>
      <c r="U15" s="357">
        <f>T15-CF_good_ex!U31-CF_good_ex!U4</f>
        <v>556098.63171875</v>
      </c>
      <c r="V15" s="357">
        <f>U15-CF_good_ex!V31-CF_good_ex!V4</f>
        <v>572828.60737402341</v>
      </c>
      <c r="W15" s="357">
        <f>V15-CF_good_ex!W31-CF_good_ex!W4</f>
        <v>585307.39598576049</v>
      </c>
      <c r="X15" s="357">
        <f>W15-CF_good_ex!X31-CF_good_ex!X4</f>
        <v>594739.70731102745</v>
      </c>
      <c r="Y15" s="357">
        <f>X15-CF_good_ex!Y31-CF_good_ex!Y4</f>
        <v>603995.16279894568</v>
      </c>
      <c r="Z15" s="357">
        <f>Y15-CF_good_ex!Z31-CF_good_ex!Z4</f>
        <v>593077.07849646546</v>
      </c>
      <c r="AA15" s="357">
        <f>Z15-CF_good_ex!AA31-CF_good_ex!AA4</f>
        <v>582363.70827465667</v>
      </c>
      <c r="AB15" s="357">
        <f>AA15-CF_good_ex!AB31-CF_good_ex!AB4</f>
        <v>571851.21374450682</v>
      </c>
      <c r="AC15" s="357">
        <f>AB15-CF_good_ex!AC31-CF_good_ex!AC4</f>
        <v>561535.82848679728</v>
      </c>
    </row>
    <row r="16" spans="1:29" x14ac:dyDescent="0.25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 x14ac:dyDescent="0.25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>S17-CF_good_ex!T35</f>
        <v>120124</v>
      </c>
      <c r="U17" s="357">
        <f>T17-CF_good_ex!U35</f>
        <v>120124</v>
      </c>
      <c r="V17" s="357">
        <f>U17-CF_good_ex!V35</f>
        <v>330124</v>
      </c>
      <c r="W17" s="357">
        <f>V17-CF_good_ex!W35</f>
        <v>480124</v>
      </c>
      <c r="X17" s="357">
        <f>W17-CF_good_ex!X35</f>
        <v>480124</v>
      </c>
      <c r="Y17" s="357">
        <f>X17-CF_good_ex!Y35</f>
        <v>480124</v>
      </c>
      <c r="Z17" s="357">
        <f>Y17-CF_good_ex!Z35</f>
        <v>480124</v>
      </c>
      <c r="AA17" s="357">
        <f>Z17-CF_good_ex!AA35</f>
        <v>480124</v>
      </c>
      <c r="AB17" s="357">
        <f>AA17-CF_good_ex!AB35</f>
        <v>480124</v>
      </c>
      <c r="AC17" s="357">
        <f>AB17-CF_good_ex!AC35</f>
        <v>480124</v>
      </c>
    </row>
    <row r="18" spans="1:29" x14ac:dyDescent="0.25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 x14ac:dyDescent="0.25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 x14ac:dyDescent="0.25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 x14ac:dyDescent="0.25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 x14ac:dyDescent="0.25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8" thickBot="1" x14ac:dyDescent="0.3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1138867.0958314396</v>
      </c>
      <c r="X23" s="320">
        <f t="shared" si="9"/>
        <v>1148742.3571309862</v>
      </c>
      <c r="Y23" s="320">
        <f t="shared" si="9"/>
        <v>1157587.7542555644</v>
      </c>
      <c r="Z23" s="320">
        <f t="shared" si="9"/>
        <v>1146764.268529187</v>
      </c>
      <c r="AA23" s="320">
        <f t="shared" si="9"/>
        <v>1136019.2355350545</v>
      </c>
      <c r="AB23" s="320">
        <f t="shared" si="9"/>
        <v>1125373.3520297855</v>
      </c>
      <c r="AC23" s="320">
        <f t="shared" si="9"/>
        <v>1115205.7946035732</v>
      </c>
    </row>
    <row r="24" spans="1:29" ht="13.8" thickBot="1" x14ac:dyDescent="0.3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2123485.4900345863</v>
      </c>
      <c r="W24" s="323">
        <f t="shared" si="10"/>
        <v>2167771.0834731464</v>
      </c>
      <c r="X24" s="323">
        <f t="shared" si="10"/>
        <v>2023123.1976563821</v>
      </c>
      <c r="Y24" s="323">
        <f t="shared" si="10"/>
        <v>2021071.3045262638</v>
      </c>
      <c r="Z24" s="323">
        <f t="shared" si="10"/>
        <v>2677331.6462744465</v>
      </c>
      <c r="AA24" s="323">
        <f t="shared" si="10"/>
        <v>2486483.7365671252</v>
      </c>
      <c r="AB24" s="323">
        <f t="shared" si="10"/>
        <v>2278038.288708766</v>
      </c>
      <c r="AC24" s="324">
        <f t="shared" si="10"/>
        <v>2311465.4545248011</v>
      </c>
    </row>
    <row r="25" spans="1:29" x14ac:dyDescent="0.25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 x14ac:dyDescent="0.25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 x14ac:dyDescent="0.25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 x14ac:dyDescent="0.25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 x14ac:dyDescent="0.25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200000</v>
      </c>
      <c r="W29" s="360">
        <v>150000</v>
      </c>
      <c r="X29" s="360">
        <v>0</v>
      </c>
      <c r="Y29" s="360">
        <f>X29</f>
        <v>0</v>
      </c>
      <c r="Z29" s="360">
        <v>600000</v>
      </c>
      <c r="AA29" s="360">
        <v>250000</v>
      </c>
      <c r="AB29" s="360">
        <v>0</v>
      </c>
      <c r="AC29" s="360">
        <v>0</v>
      </c>
    </row>
    <row r="30" spans="1:29" x14ac:dyDescent="0.25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 x14ac:dyDescent="0.25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 x14ac:dyDescent="0.25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340300.08333333337</v>
      </c>
      <c r="W32" s="320">
        <f t="shared" si="13"/>
        <v>289165.93055555556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739630.06102109049</v>
      </c>
      <c r="AA32" s="320">
        <f t="shared" si="13"/>
        <v>390331.07119127229</v>
      </c>
      <c r="AB32" s="320">
        <f t="shared" si="13"/>
        <v>140566.83305648435</v>
      </c>
      <c r="AC32" s="320">
        <f t="shared" si="13"/>
        <v>140611.29134367619</v>
      </c>
    </row>
    <row r="33" spans="1:29" x14ac:dyDescent="0.25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 x14ac:dyDescent="0.25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>S34+CF_good_ex!T41</f>
        <v>539177</v>
      </c>
      <c r="U34" s="357">
        <f>T34+CF_good_ex!U41</f>
        <v>539177</v>
      </c>
      <c r="V34" s="357">
        <f>U34+CF_good_ex!V41</f>
        <v>539177</v>
      </c>
      <c r="W34" s="357">
        <f>V34+CF_good_ex!W41</f>
        <v>539177</v>
      </c>
      <c r="X34" s="357">
        <f>W34+CF_good_ex!X41</f>
        <v>539177</v>
      </c>
      <c r="Y34" s="357">
        <f>X34+CF_good_ex!Y41</f>
        <v>539177</v>
      </c>
      <c r="Z34" s="357">
        <f>Y34+CF_good_ex!Z41</f>
        <v>539177</v>
      </c>
      <c r="AA34" s="357">
        <f>Z34+CF_good_ex!AA41</f>
        <v>539177</v>
      </c>
      <c r="AB34" s="357">
        <f>AA34+CF_good_ex!AB41</f>
        <v>539177</v>
      </c>
      <c r="AC34" s="357">
        <f>AB34+CF_good_ex!AC41</f>
        <v>539177</v>
      </c>
    </row>
    <row r="35" spans="1:29" x14ac:dyDescent="0.25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 x14ac:dyDescent="0.25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 x14ac:dyDescent="0.25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 x14ac:dyDescent="0.25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 x14ac:dyDescent="0.25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 x14ac:dyDescent="0.25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 x14ac:dyDescent="0.25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 x14ac:dyDescent="0.25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 x14ac:dyDescent="0.25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 x14ac:dyDescent="0.25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 x14ac:dyDescent="0.25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 x14ac:dyDescent="0.25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>S46+CF_good_ex!T2+CF_good_ex!T28+CF_good_ex!T45</f>
        <v>1279046.4999783456</v>
      </c>
      <c r="U46" s="357">
        <f>T46+CF_good_ex!U2+CF_good_ex!U28+CF_good_ex!U45</f>
        <v>1266214.3744441948</v>
      </c>
      <c r="V46" s="357">
        <f>U46+CF_good_ex!V2+CF_good_ex!V28+CF_good_ex!V45</f>
        <v>1289411.4344790308</v>
      </c>
      <c r="W46" s="357">
        <f>V46+CF_good_ex!W2+CF_good_ex!W28+CF_good_ex!W45</f>
        <v>1381761.1853249981</v>
      </c>
      <c r="X46" s="357">
        <f>W46+CF_good_ex!X2+CF_good_ex!X28+CF_good_ex!X45</f>
        <v>1390009.8164835428</v>
      </c>
      <c r="Y46" s="357">
        <f>X46+CF_good_ex!Y2+CF_good_ex!Y28+CF_good_ex!Y45</f>
        <v>1387163.0264912844</v>
      </c>
      <c r="Z46" s="357">
        <f>Y46+CF_good_ex!Z2+CF_good_ex!Z28+CF_good_ex!Z45</f>
        <v>1441323.1552336379</v>
      </c>
      <c r="AA46" s="357">
        <f>Z46+CF_good_ex!AA2+CF_good_ex!AA28+CF_good_ex!AA45</f>
        <v>1601382.1636861807</v>
      </c>
      <c r="AB46" s="357">
        <f>AA46+CF_good_ex!AB2+CF_good_ex!AB28+CF_good_ex!AB45</f>
        <v>1643335.6759032204</v>
      </c>
      <c r="AC46" s="357">
        <f>AB46+CF_good_ex!AC2+CF_good_ex!AC28+CF_good_ex!AC45</f>
        <v>1676658.0821775899</v>
      </c>
    </row>
    <row r="47" spans="1:29" x14ac:dyDescent="0.25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>SUM(T40:T46)</f>
        <v>1099045.4999783456</v>
      </c>
      <c r="U47" s="320">
        <f t="shared" ref="U47:AC47" si="20">SUM(U40:U46)</f>
        <v>1086213.3744441948</v>
      </c>
      <c r="V47" s="320">
        <f t="shared" si="20"/>
        <v>1109410.4344790308</v>
      </c>
      <c r="W47" s="320">
        <f t="shared" si="20"/>
        <v>1201760.1853249981</v>
      </c>
      <c r="X47" s="320">
        <f t="shared" si="20"/>
        <v>1210008.8164835428</v>
      </c>
      <c r="Y47" s="320">
        <f t="shared" si="20"/>
        <v>1207162.0264912844</v>
      </c>
      <c r="Z47" s="320">
        <f t="shared" si="20"/>
        <v>1261322.1552336379</v>
      </c>
      <c r="AA47" s="320">
        <f t="shared" si="20"/>
        <v>1421381.1636861807</v>
      </c>
      <c r="AB47" s="320">
        <f t="shared" si="20"/>
        <v>1463334.6759032204</v>
      </c>
      <c r="AC47" s="320">
        <f t="shared" si="20"/>
        <v>1496657.0821775899</v>
      </c>
    </row>
    <row r="48" spans="1:29" x14ac:dyDescent="0.25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8" thickBot="1" x14ac:dyDescent="0.3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>T47+T48+CF_good_ex!T45</f>
        <v>1102251.4999783456</v>
      </c>
      <c r="U49" s="357">
        <f t="shared" ref="U49:AC49" si="22">U47+U48</f>
        <v>1089419.3744441948</v>
      </c>
      <c r="V49" s="357">
        <f t="shared" si="22"/>
        <v>1112616.4344790308</v>
      </c>
      <c r="W49" s="357">
        <f t="shared" si="22"/>
        <v>1204966.1853249981</v>
      </c>
      <c r="X49" s="357">
        <f t="shared" si="22"/>
        <v>1213214.8164835428</v>
      </c>
      <c r="Y49" s="357">
        <f t="shared" si="22"/>
        <v>1210368.0264912844</v>
      </c>
      <c r="Z49" s="357">
        <f t="shared" si="22"/>
        <v>1264528.1552336379</v>
      </c>
      <c r="AA49" s="357">
        <f t="shared" si="22"/>
        <v>1424587.1636861807</v>
      </c>
      <c r="AB49" s="357">
        <f t="shared" si="22"/>
        <v>1466540.6759032204</v>
      </c>
      <c r="AC49" s="357">
        <f t="shared" si="22"/>
        <v>1499863.0821775899</v>
      </c>
    </row>
    <row r="50" spans="1:29" ht="13.8" thickBot="1" x14ac:dyDescent="0.3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2047572.8002197715</v>
      </c>
      <c r="W50" s="323">
        <f t="shared" si="23"/>
        <v>2088932.1120225289</v>
      </c>
      <c r="X50" s="323">
        <f t="shared" si="23"/>
        <v>1950076.7309639954</v>
      </c>
      <c r="Y50" s="323">
        <f t="shared" si="23"/>
        <v>1945093.926718479</v>
      </c>
      <c r="Z50" s="323">
        <f t="shared" si="23"/>
        <v>2596333.5388320317</v>
      </c>
      <c r="AA50" s="323">
        <f t="shared" si="23"/>
        <v>2408094.7501065293</v>
      </c>
      <c r="AB50" s="323">
        <f t="shared" si="23"/>
        <v>2200844.5220973305</v>
      </c>
      <c r="AC50" s="323">
        <f t="shared" si="23"/>
        <v>2234058.1751139285</v>
      </c>
    </row>
    <row r="51" spans="1:29" x14ac:dyDescent="0.25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1109410.4344790308</v>
      </c>
      <c r="W51" s="357">
        <f t="shared" si="24"/>
        <v>1201760.1853249981</v>
      </c>
      <c r="X51" s="357">
        <f t="shared" si="24"/>
        <v>1210008.8164835428</v>
      </c>
      <c r="Y51" s="357">
        <f t="shared" si="24"/>
        <v>1207162.0264912844</v>
      </c>
      <c r="Z51" s="357">
        <f t="shared" si="24"/>
        <v>1261322.1552336379</v>
      </c>
      <c r="AA51" s="357">
        <f t="shared" si="24"/>
        <v>1421381.1636861807</v>
      </c>
      <c r="AB51" s="357">
        <f t="shared" si="24"/>
        <v>1463334.6759032204</v>
      </c>
      <c r="AC51" s="357">
        <f t="shared" si="24"/>
        <v>1496657.0821775899</v>
      </c>
    </row>
    <row r="52" spans="1:29" x14ac:dyDescent="0.25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 x14ac:dyDescent="0.25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13.747131666754408</v>
      </c>
      <c r="W53" s="358">
        <f t="shared" si="25"/>
        <v>14.891472971663482</v>
      </c>
      <c r="X53" s="358">
        <f t="shared" si="25"/>
        <v>14.993684934957532</v>
      </c>
      <c r="Y53" s="358">
        <f t="shared" si="25"/>
        <v>14.958409264533941</v>
      </c>
      <c r="Z53" s="358">
        <f t="shared" si="25"/>
        <v>15.62952826411243</v>
      </c>
      <c r="AA53" s="358">
        <f t="shared" si="25"/>
        <v>17.612881038940557</v>
      </c>
      <c r="AB53" s="358">
        <f t="shared" si="25"/>
        <v>18.132743155255756</v>
      </c>
      <c r="AC53" s="358">
        <f t="shared" si="25"/>
        <v>18.545653916025692</v>
      </c>
    </row>
    <row r="54" spans="1:29" x14ac:dyDescent="0.25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 x14ac:dyDescent="0.25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13.527442146787447</v>
      </c>
      <c r="W55" s="358">
        <f t="shared" si="26"/>
        <v>14.653496015593626</v>
      </c>
      <c r="X55" s="358">
        <f t="shared" si="26"/>
        <v>14.754074554716347</v>
      </c>
      <c r="Y55" s="358">
        <f t="shared" si="26"/>
        <v>14.719362616079847</v>
      </c>
      <c r="Z55" s="358">
        <f t="shared" si="26"/>
        <v>15.379756628480488</v>
      </c>
      <c r="AA55" s="358">
        <f t="shared" si="26"/>
        <v>17.331413931875773</v>
      </c>
      <c r="AB55" s="358">
        <f t="shared" si="26"/>
        <v>17.842968259951885</v>
      </c>
      <c r="AC55" s="358">
        <f t="shared" si="26"/>
        <v>18.249280395712489</v>
      </c>
    </row>
    <row r="57" spans="1:29" x14ac:dyDescent="0.25"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78838.971450617537</v>
      </c>
      <c r="X57" s="317">
        <f t="shared" si="27"/>
        <v>73046.466692386661</v>
      </c>
      <c r="Y57" s="317">
        <f t="shared" si="27"/>
        <v>75977.377807784826</v>
      </c>
      <c r="Z57" s="317">
        <f t="shared" si="27"/>
        <v>80998.107442414854</v>
      </c>
      <c r="AA57" s="317">
        <f t="shared" si="27"/>
        <v>78388.986460595857</v>
      </c>
      <c r="AB57" s="317">
        <f t="shared" si="27"/>
        <v>77193.766611435451</v>
      </c>
      <c r="AC57" s="317">
        <f t="shared" si="27"/>
        <v>77407.279410872608</v>
      </c>
    </row>
  </sheetData>
  <conditionalFormatting sqref="T4:AC4">
    <cfRule type="expression" dxfId="2" priority="1" stopIfTrue="1">
      <formula>T$4&lt;AVERAGE($N$4:$S$4)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AA29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3.2" x14ac:dyDescent="0.25"/>
  <cols>
    <col min="17" max="23" width="9" bestFit="1" customWidth="1"/>
    <col min="24" max="24" width="9.109375" bestFit="1" customWidth="1"/>
    <col min="25" max="26" width="9" bestFit="1" customWidth="1"/>
  </cols>
  <sheetData>
    <row r="1" spans="1:27" x14ac:dyDescent="0.25">
      <c r="A1" s="363" t="s">
        <v>402</v>
      </c>
      <c r="B1" s="74" t="s">
        <v>161</v>
      </c>
      <c r="C1" s="69" t="s">
        <v>162</v>
      </c>
      <c r="D1" s="1" t="s">
        <v>163</v>
      </c>
      <c r="E1" s="1" t="s">
        <v>164</v>
      </c>
      <c r="F1" s="52" t="s">
        <v>165</v>
      </c>
      <c r="G1" s="73" t="s">
        <v>166</v>
      </c>
      <c r="H1" s="48" t="s">
        <v>167</v>
      </c>
      <c r="I1" s="48" t="s">
        <v>168</v>
      </c>
      <c r="J1" s="74" t="s">
        <v>169</v>
      </c>
      <c r="K1" s="69" t="s">
        <v>170</v>
      </c>
      <c r="L1" s="1" t="s">
        <v>171</v>
      </c>
      <c r="M1" s="1" t="s">
        <v>172</v>
      </c>
      <c r="N1" s="52" t="s">
        <v>173</v>
      </c>
      <c r="O1" s="73" t="s">
        <v>174</v>
      </c>
      <c r="P1" s="48" t="s">
        <v>175</v>
      </c>
    </row>
    <row r="2" spans="1:27" x14ac:dyDescent="0.25">
      <c r="A2" t="s">
        <v>389</v>
      </c>
      <c r="B2" s="316">
        <v>247268</v>
      </c>
      <c r="C2" s="316">
        <v>209420</v>
      </c>
      <c r="D2" s="316">
        <v>20773</v>
      </c>
      <c r="E2" s="316">
        <v>67310</v>
      </c>
      <c r="F2" s="316">
        <v>182836</v>
      </c>
      <c r="G2" s="316">
        <v>79423</v>
      </c>
      <c r="H2" s="316">
        <v>21299</v>
      </c>
      <c r="I2" s="316">
        <v>20903</v>
      </c>
      <c r="J2" s="316">
        <v>146571</v>
      </c>
      <c r="K2" s="316">
        <v>62926</v>
      </c>
      <c r="L2" s="316">
        <v>20031</v>
      </c>
      <c r="M2" s="316">
        <v>23856</v>
      </c>
      <c r="N2" s="316">
        <v>190312</v>
      </c>
      <c r="O2" s="316">
        <v>91618</v>
      </c>
      <c r="P2" s="316">
        <v>27970</v>
      </c>
      <c r="Q2" s="316">
        <f>Q3*Q4*1000</f>
        <v>27848.039015678351</v>
      </c>
      <c r="R2" s="316">
        <f t="shared" ref="R2:Z2" si="0">R3*R4*1000</f>
        <v>29170.634398376475</v>
      </c>
      <c r="S2" s="316">
        <f t="shared" si="0"/>
        <v>238187.94869763122</v>
      </c>
      <c r="T2" s="316">
        <f t="shared" si="0"/>
        <v>108667.98597583915</v>
      </c>
      <c r="U2" s="316">
        <f t="shared" si="0"/>
        <v>30370.511887681812</v>
      </c>
      <c r="V2" s="316">
        <f t="shared" si="0"/>
        <v>44602.359571032888</v>
      </c>
      <c r="W2" s="316">
        <f t="shared" si="0"/>
        <v>364193.12614914397</v>
      </c>
      <c r="X2" s="316">
        <f t="shared" si="0"/>
        <v>166155.06259349966</v>
      </c>
      <c r="Y2" s="316">
        <f t="shared" si="0"/>
        <v>46436.991155944983</v>
      </c>
      <c r="Z2" s="316">
        <f t="shared" si="0"/>
        <v>44602.359571032888</v>
      </c>
    </row>
    <row r="3" spans="1:27" x14ac:dyDescent="0.25">
      <c r="A3" t="s">
        <v>390</v>
      </c>
      <c r="B3" s="33">
        <f>SUM(EBITDA_good!F$46:I$46)</f>
        <v>290.10000000000002</v>
      </c>
      <c r="C3" s="33">
        <f>B3</f>
        <v>290.10000000000002</v>
      </c>
      <c r="D3" s="33">
        <f>C3</f>
        <v>290.10000000000002</v>
      </c>
      <c r="E3" s="33">
        <f>D3</f>
        <v>290.10000000000002</v>
      </c>
      <c r="F3" s="33">
        <f>SUM(EBITDA_good!J$46:M$46)</f>
        <v>310.39999999999998</v>
      </c>
      <c r="G3" s="33">
        <f>F3</f>
        <v>310.39999999999998</v>
      </c>
      <c r="H3" s="33">
        <f>G3</f>
        <v>310.39999999999998</v>
      </c>
      <c r="I3" s="33">
        <f>H3</f>
        <v>310.39999999999998</v>
      </c>
      <c r="J3" s="33">
        <f>SUM(EBITDA_good!N$46:Q$46)</f>
        <v>358.1</v>
      </c>
      <c r="K3" s="33">
        <f>J3</f>
        <v>358.1</v>
      </c>
      <c r="L3" s="33">
        <f>K3</f>
        <v>358.1</v>
      </c>
      <c r="M3" s="33">
        <f>L3</f>
        <v>358.1</v>
      </c>
      <c r="N3" s="33">
        <f>SUM(EBITDA_good!R$46:U$46)</f>
        <v>372.64310223921632</v>
      </c>
      <c r="O3" s="33">
        <f>N3</f>
        <v>372.64310223921632</v>
      </c>
      <c r="P3" s="33">
        <f>O3</f>
        <v>372.64310223921632</v>
      </c>
      <c r="Q3" s="33">
        <f>P3</f>
        <v>372.64310223921632</v>
      </c>
      <c r="R3" s="33">
        <f>SUM(EBITDA_good!V$46:Y$46)</f>
        <v>406.39708095952869</v>
      </c>
      <c r="S3" s="33">
        <f>R3</f>
        <v>406.39708095952869</v>
      </c>
      <c r="T3" s="33">
        <f>S3</f>
        <v>406.39708095952869</v>
      </c>
      <c r="U3" s="33">
        <f>T3</f>
        <v>406.39708095952869</v>
      </c>
      <c r="V3" s="33">
        <f>SUM(EBITDA_good!Z$46:AC$46)</f>
        <v>621.38753946962152</v>
      </c>
      <c r="W3" s="33">
        <f>V3</f>
        <v>621.38753946962152</v>
      </c>
      <c r="X3" s="33">
        <f>W3</f>
        <v>621.38753946962152</v>
      </c>
      <c r="Y3" s="33">
        <f>X3</f>
        <v>621.38753946962152</v>
      </c>
      <c r="Z3" s="33">
        <f>Y3</f>
        <v>621.38753946962152</v>
      </c>
    </row>
    <row r="4" spans="1:27" x14ac:dyDescent="0.25">
      <c r="B4" s="28">
        <f>B2/B3/1000</f>
        <v>0.85235436056532232</v>
      </c>
      <c r="C4" s="28">
        <f t="shared" ref="C4:P4" si="1">C2/C3/1000</f>
        <v>0.72188900379179588</v>
      </c>
      <c r="D4" s="28">
        <f t="shared" si="1"/>
        <v>7.1606342640468792E-2</v>
      </c>
      <c r="E4" s="28">
        <f t="shared" si="1"/>
        <v>0.23202344019303686</v>
      </c>
      <c r="F4" s="28">
        <f t="shared" si="1"/>
        <v>0.58903350515463926</v>
      </c>
      <c r="G4" s="28">
        <f t="shared" si="1"/>
        <v>0.25587306701030926</v>
      </c>
      <c r="H4" s="28">
        <f t="shared" si="1"/>
        <v>6.8617912371134029E-2</v>
      </c>
      <c r="I4" s="28">
        <f t="shared" si="1"/>
        <v>6.7342139175257748E-2</v>
      </c>
      <c r="J4" s="28">
        <f t="shared" si="1"/>
        <v>0.4093018709857581</v>
      </c>
      <c r="K4" s="28">
        <f t="shared" si="1"/>
        <v>0.17572186540072604</v>
      </c>
      <c r="L4" s="28">
        <f t="shared" si="1"/>
        <v>5.593688913711254E-2</v>
      </c>
      <c r="M4" s="28">
        <f t="shared" si="1"/>
        <v>6.6618263055012561E-2</v>
      </c>
      <c r="N4" s="28">
        <f t="shared" si="1"/>
        <v>0.51070850059054684</v>
      </c>
      <c r="O4" s="28">
        <f t="shared" si="1"/>
        <v>0.24585991113069444</v>
      </c>
      <c r="P4" s="28">
        <f t="shared" si="1"/>
        <v>7.5058413350275299E-2</v>
      </c>
      <c r="Q4" s="336">
        <f>$D$6</f>
        <v>7.4731127044454032E-2</v>
      </c>
      <c r="R4" s="336">
        <f>$E$6</f>
        <v>7.1778651385740272E-2</v>
      </c>
      <c r="S4" s="336">
        <f>$B$6</f>
        <v>0.58609660319226387</v>
      </c>
      <c r="T4" s="336">
        <f>$C$6</f>
        <v>0.26739361837754178</v>
      </c>
      <c r="U4" s="336">
        <f>$D$6</f>
        <v>7.4731127044454032E-2</v>
      </c>
      <c r="V4" s="336">
        <f>$E$6</f>
        <v>7.1778651385740272E-2</v>
      </c>
      <c r="W4" s="336">
        <f>$B$6</f>
        <v>0.58609660319226387</v>
      </c>
      <c r="X4" s="336">
        <f>$C$6</f>
        <v>0.26739361837754178</v>
      </c>
      <c r="Y4" s="336">
        <f>$D$6</f>
        <v>7.4731127044454032E-2</v>
      </c>
      <c r="Z4" s="336">
        <f>$E$6</f>
        <v>7.1778651385740272E-2</v>
      </c>
    </row>
    <row r="5" spans="1:27" x14ac:dyDescent="0.25">
      <c r="B5" s="336">
        <f>MEDIAN(B4,F4,J4,N4)</f>
        <v>0.54987100287259305</v>
      </c>
      <c r="C5" s="336">
        <f>MEDIAN(C4,G4,K4,O4)</f>
        <v>0.25086648907050185</v>
      </c>
      <c r="D5" s="336">
        <f>MEDIAN(D4,H4,L4,P4)</f>
        <v>7.0112127505801411E-2</v>
      </c>
      <c r="E5" s="336">
        <f>MEDIAN(E4,I4,M4)</f>
        <v>6.7342139175257748E-2</v>
      </c>
    </row>
    <row r="6" spans="1:27" x14ac:dyDescent="0.25">
      <c r="B6" s="361">
        <f>B5/SUM($B$5:$E$5)</f>
        <v>0.58609660319226387</v>
      </c>
      <c r="C6" s="361">
        <f>C5/SUM($B$5:$E$5)</f>
        <v>0.26739361837754178</v>
      </c>
      <c r="D6" s="361">
        <f>D5/SUM($B$5:$E$5)</f>
        <v>7.4731127044454032E-2</v>
      </c>
      <c r="E6" s="361">
        <f>E5/SUM($B$5:$E$5)</f>
        <v>7.1778651385740272E-2</v>
      </c>
    </row>
    <row r="8" spans="1:27" x14ac:dyDescent="0.25">
      <c r="A8" t="s">
        <v>391</v>
      </c>
      <c r="B8" s="316">
        <f>BS_good!E9</f>
        <v>270248</v>
      </c>
      <c r="C8" s="316">
        <f>BS_good!F9</f>
        <v>327561</v>
      </c>
      <c r="D8" s="316">
        <f>BS_good!G9</f>
        <v>742404</v>
      </c>
      <c r="E8" s="316">
        <f>BS_good!H9</f>
        <v>554505</v>
      </c>
      <c r="F8" s="316">
        <f>BS_good!I9</f>
        <v>299527</v>
      </c>
      <c r="G8" s="316">
        <f>BS_good!J9</f>
        <v>411388</v>
      </c>
      <c r="H8" s="316">
        <f>BS_good!K9</f>
        <v>556967</v>
      </c>
      <c r="I8" s="316">
        <f>BS_good!L9</f>
        <v>317774</v>
      </c>
      <c r="J8" s="316">
        <f>BS_good!M9</f>
        <v>158756</v>
      </c>
      <c r="K8" s="316">
        <f>BS_good!N9</f>
        <v>340148</v>
      </c>
      <c r="L8" s="316">
        <f>BS_good!O9</f>
        <v>443100</v>
      </c>
      <c r="M8" s="316">
        <f>BS_good!P9</f>
        <v>271389</v>
      </c>
      <c r="N8" s="316">
        <f>BS_good!Q9</f>
        <v>200213</v>
      </c>
      <c r="O8" s="316">
        <f>BS_good!R9</f>
        <v>448304</v>
      </c>
      <c r="P8" s="316">
        <f>BS_good!S9</f>
        <v>616096</v>
      </c>
      <c r="Q8" s="316">
        <f>R9*Q$10</f>
        <v>302390.01853526547</v>
      </c>
      <c r="R8" s="316">
        <f t="shared" ref="R8:Z8" si="2">S9*R10</f>
        <v>196660.77917948904</v>
      </c>
      <c r="S8" s="316">
        <f t="shared" si="2"/>
        <v>433597.34032186982</v>
      </c>
      <c r="T8" s="316">
        <f t="shared" si="2"/>
        <v>462179.26239351835</v>
      </c>
      <c r="U8" s="316">
        <f t="shared" si="2"/>
        <v>382859.39557947387</v>
      </c>
      <c r="V8" s="316">
        <f t="shared" si="2"/>
        <v>303775.49256430438</v>
      </c>
      <c r="W8" s="316">
        <f t="shared" si="2"/>
        <v>617495.25951159711</v>
      </c>
      <c r="X8" s="316">
        <f t="shared" si="2"/>
        <v>662945.77259500173</v>
      </c>
      <c r="Y8" s="316">
        <f t="shared" si="2"/>
        <v>513953.12910830259</v>
      </c>
      <c r="Z8" s="316">
        <f t="shared" si="2"/>
        <v>303775.49256430438</v>
      </c>
    </row>
    <row r="9" spans="1:27" x14ac:dyDescent="0.25">
      <c r="A9" t="s">
        <v>392</v>
      </c>
      <c r="B9">
        <f>SUM(EBITDA_good!E3,EBITDA_good!E9,EBITDA_good!E22)*1000</f>
        <v>690000</v>
      </c>
      <c r="C9">
        <f>SUM(EBITDA_good!F3,EBITDA_good!F9,EBITDA_good!F22)*1000</f>
        <v>378900</v>
      </c>
      <c r="D9">
        <f>SUM(EBITDA_good!G3,EBITDA_good!G9,EBITDA_good!G22)*1000</f>
        <v>673900.00000000012</v>
      </c>
      <c r="E9">
        <f>SUM(EBITDA_good!H3,EBITDA_good!H9,EBITDA_good!H22)*1000</f>
        <v>651200</v>
      </c>
      <c r="F9">
        <f>SUM(EBITDA_good!I3,EBITDA_good!I9,EBITDA_good!I22)*1000</f>
        <v>561199.99999999977</v>
      </c>
      <c r="G9">
        <f>SUM(EBITDA_good!J3,EBITDA_good!J9,EBITDA_good!J22)*1000</f>
        <v>545800</v>
      </c>
      <c r="H9">
        <f>SUM(EBITDA_good!K3,EBITDA_good!K9,EBITDA_good!K22)*1000</f>
        <v>636100</v>
      </c>
      <c r="I9">
        <f>SUM(EBITDA_good!L3,EBITDA_good!L9,EBITDA_good!L22)*1000</f>
        <v>601100</v>
      </c>
      <c r="J9">
        <f>SUM(EBITDA_good!M3,EBITDA_good!M9,EBITDA_good!M22)*1000</f>
        <v>484100.00000000006</v>
      </c>
      <c r="K9">
        <f>SUM(EBITDA_good!N3,EBITDA_good!N9,EBITDA_good!N22)*1000</f>
        <v>366700.00000000006</v>
      </c>
      <c r="L9">
        <f>SUM(EBITDA_good!O3,EBITDA_good!O9,EBITDA_good!O22)*1000</f>
        <v>609400</v>
      </c>
      <c r="M9">
        <f>SUM(EBITDA_good!P3,EBITDA_good!P9,EBITDA_good!P22)*1000</f>
        <v>602600</v>
      </c>
      <c r="N9">
        <f>SUM(EBITDA_good!Q3,EBITDA_good!Q9,EBITDA_good!Q22)*1000</f>
        <v>377700</v>
      </c>
      <c r="O9">
        <f>SUM(EBITDA_good!R3,EBITDA_good!R9,EBITDA_good!R22)*1000</f>
        <v>375200</v>
      </c>
      <c r="P9">
        <f>SUM(EBITDA_good!S3,EBITDA_good!S9,EBITDA_good!S22)*1000</f>
        <v>645700</v>
      </c>
      <c r="Q9">
        <f>SUM(EBITDA_good!T$3,EBITDA_good!T$9,EBITDA_good!T$22)*1000</f>
        <v>444763.8946899256</v>
      </c>
      <c r="R9">
        <f>SUM(EBITDA_good!U$3,EBITDA_good!U$9,EBITDA_good!U$22)*1000</f>
        <v>439855.12386375491</v>
      </c>
      <c r="S9">
        <f>SUM(EBITDA_good!V$3,EBITDA_good!V$9,EBITDA_good!V$22)*1000</f>
        <v>406934.20356289065</v>
      </c>
      <c r="T9">
        <f>SUM(EBITDA_good!W$3,EBITDA_good!W$9,EBITDA_good!W$22)*1000</f>
        <v>719721.28438142384</v>
      </c>
      <c r="U9">
        <f>SUM(EBITDA_good!X$3,EBITDA_good!X$9,EBITDA_good!X$22)*1000</f>
        <v>556208.12443675834</v>
      </c>
      <c r="V9">
        <f>SUM(EBITDA_good!Y$3,EBITDA_good!Y$9,EBITDA_good!Y$22)*1000</f>
        <v>556905.507928901</v>
      </c>
      <c r="W9">
        <f>SUM(EBITDA_good!Z$3,EBITDA_good!Z$9,EBITDA_good!Z$22)*1000</f>
        <v>628577.99427183776</v>
      </c>
      <c r="X9">
        <f>SUM(EBITDA_good!AA$3,EBITDA_good!AA$9,EBITDA_good!AA$22)*1000</f>
        <v>1024970.4966945144</v>
      </c>
      <c r="Y9">
        <f>SUM(EBITDA_good!AB$3,EBITDA_good!AB$9,EBITDA_good!AB$22)*1000</f>
        <v>797819.92569019005</v>
      </c>
      <c r="Z9">
        <f>SUM(EBITDA_good!AC$3,EBITDA_good!AC$9,EBITDA_good!AC$22)*1000</f>
        <v>747593.84704271448</v>
      </c>
      <c r="AA9">
        <f>W9</f>
        <v>628577.99427183776</v>
      </c>
    </row>
    <row r="10" spans="1:27" x14ac:dyDescent="0.25">
      <c r="A10" t="s">
        <v>393</v>
      </c>
      <c r="B10" s="28">
        <f>B8/C9</f>
        <v>0.7132435998944312</v>
      </c>
      <c r="C10" s="28">
        <f t="shared" ref="C10:O10" si="3">C8/D9</f>
        <v>0.48606766582579009</v>
      </c>
      <c r="D10" s="28">
        <f t="shared" si="3"/>
        <v>1.1400552825552825</v>
      </c>
      <c r="E10" s="28">
        <f t="shared" si="3"/>
        <v>0.98807020669992918</v>
      </c>
      <c r="F10" s="28">
        <f t="shared" si="3"/>
        <v>0.54878526932942473</v>
      </c>
      <c r="G10" s="28">
        <f t="shared" si="3"/>
        <v>0.64673479012733848</v>
      </c>
      <c r="H10" s="28">
        <f t="shared" si="3"/>
        <v>0.92657960405922479</v>
      </c>
      <c r="I10" s="28">
        <f t="shared" si="3"/>
        <v>0.65642222681264195</v>
      </c>
      <c r="J10" s="28">
        <f t="shared" si="3"/>
        <v>0.43293155167712022</v>
      </c>
      <c r="K10" s="28">
        <f t="shared" si="3"/>
        <v>0.55816869051526086</v>
      </c>
      <c r="L10" s="28">
        <f t="shared" si="3"/>
        <v>0.73531364088947893</v>
      </c>
      <c r="M10" s="28">
        <f t="shared" si="3"/>
        <v>0.71853057982525814</v>
      </c>
      <c r="N10" s="28">
        <f t="shared" si="3"/>
        <v>0.53361673773987206</v>
      </c>
      <c r="O10" s="28">
        <f t="shared" si="3"/>
        <v>0.69429146662536778</v>
      </c>
      <c r="Q10" s="336">
        <f>E11</f>
        <v>0.68747640331894999</v>
      </c>
      <c r="R10" s="336">
        <f>F11</f>
        <v>0.48327414470849617</v>
      </c>
      <c r="S10" s="336">
        <f>C11</f>
        <v>0.60245174032129967</v>
      </c>
      <c r="T10" s="336">
        <f>D11</f>
        <v>0.8309466224743518</v>
      </c>
      <c r="U10" s="336">
        <f>E11</f>
        <v>0.68747640331894999</v>
      </c>
      <c r="V10" s="336">
        <f>F11</f>
        <v>0.48327414470849617</v>
      </c>
      <c r="W10" s="336">
        <f>S10</f>
        <v>0.60245174032129967</v>
      </c>
      <c r="X10" s="336">
        <f>T10</f>
        <v>0.8309466224743518</v>
      </c>
      <c r="Y10" s="336">
        <f>U10</f>
        <v>0.68747640331894999</v>
      </c>
      <c r="Z10" s="336">
        <f>V10</f>
        <v>0.48327414470849617</v>
      </c>
    </row>
    <row r="11" spans="1:27" x14ac:dyDescent="0.25">
      <c r="C11" s="361">
        <f>AVERAGE(G10,K10)</f>
        <v>0.60245174032129967</v>
      </c>
      <c r="D11" s="361">
        <f>AVERAGE(H10,L10)</f>
        <v>0.8309466224743518</v>
      </c>
      <c r="E11" s="361">
        <f>AVERAGE(I10,M10)</f>
        <v>0.68747640331894999</v>
      </c>
      <c r="F11" s="361">
        <f>AVERAGE(J10,N10)</f>
        <v>0.48327414470849617</v>
      </c>
    </row>
    <row r="13" spans="1:27" x14ac:dyDescent="0.25">
      <c r="A13" s="388" t="s">
        <v>403</v>
      </c>
    </row>
    <row r="14" spans="1:27" x14ac:dyDescent="0.25">
      <c r="A14" t="s">
        <v>389</v>
      </c>
      <c r="B14" s="316">
        <f t="shared" ref="B14:O14" si="4">B$2</f>
        <v>247268</v>
      </c>
      <c r="C14" s="316">
        <f t="shared" si="4"/>
        <v>209420</v>
      </c>
      <c r="D14" s="316">
        <f t="shared" si="4"/>
        <v>20773</v>
      </c>
      <c r="E14" s="316">
        <f t="shared" si="4"/>
        <v>67310</v>
      </c>
      <c r="F14" s="316">
        <f t="shared" si="4"/>
        <v>182836</v>
      </c>
      <c r="G14" s="316">
        <f t="shared" si="4"/>
        <v>79423</v>
      </c>
      <c r="H14" s="316">
        <f t="shared" si="4"/>
        <v>21299</v>
      </c>
      <c r="I14" s="316">
        <f t="shared" si="4"/>
        <v>20903</v>
      </c>
      <c r="J14" s="316">
        <f t="shared" si="4"/>
        <v>146571</v>
      </c>
      <c r="K14" s="316">
        <f t="shared" si="4"/>
        <v>62926</v>
      </c>
      <c r="L14" s="316">
        <f t="shared" si="4"/>
        <v>20031</v>
      </c>
      <c r="M14" s="316">
        <f t="shared" si="4"/>
        <v>23856</v>
      </c>
      <c r="N14" s="316">
        <f t="shared" si="4"/>
        <v>190312</v>
      </c>
      <c r="O14" s="316">
        <f t="shared" si="4"/>
        <v>91618</v>
      </c>
      <c r="P14" s="316">
        <f>P$2</f>
        <v>27970</v>
      </c>
      <c r="Q14" s="318">
        <f>Q15*Q$4*1000</f>
        <v>27848.039015678351</v>
      </c>
      <c r="R14" s="318">
        <f t="shared" ref="R14:Z14" si="5">R15*R$4*1000</f>
        <v>29170.634398376475</v>
      </c>
      <c r="S14" s="318">
        <f t="shared" si="5"/>
        <v>238187.94869763122</v>
      </c>
      <c r="T14" s="318">
        <f t="shared" si="5"/>
        <v>108667.98597583915</v>
      </c>
      <c r="U14" s="318">
        <f t="shared" si="5"/>
        <v>30370.511887681812</v>
      </c>
      <c r="V14" s="318">
        <f t="shared" si="5"/>
        <v>22301.179785516444</v>
      </c>
      <c r="W14" s="318">
        <f t="shared" si="5"/>
        <v>182096.56307457198</v>
      </c>
      <c r="X14" s="318">
        <f t="shared" si="5"/>
        <v>83077.531296749832</v>
      </c>
      <c r="Y14" s="318">
        <f t="shared" si="5"/>
        <v>23218.495577972491</v>
      </c>
      <c r="Z14" s="318">
        <f t="shared" si="5"/>
        <v>22301.179785516444</v>
      </c>
      <c r="AA14" s="316"/>
    </row>
    <row r="15" spans="1:27" x14ac:dyDescent="0.25">
      <c r="A15" t="s">
        <v>390</v>
      </c>
      <c r="B15" s="316">
        <f>B3</f>
        <v>290.10000000000002</v>
      </c>
      <c r="C15" s="316">
        <f t="shared" ref="C15:O15" si="6">C3</f>
        <v>290.10000000000002</v>
      </c>
      <c r="D15" s="316">
        <f t="shared" si="6"/>
        <v>290.10000000000002</v>
      </c>
      <c r="E15" s="316">
        <f t="shared" si="6"/>
        <v>290.10000000000002</v>
      </c>
      <c r="F15" s="316">
        <f t="shared" si="6"/>
        <v>310.39999999999998</v>
      </c>
      <c r="G15" s="316">
        <f t="shared" si="6"/>
        <v>310.39999999999998</v>
      </c>
      <c r="H15" s="316">
        <f t="shared" si="6"/>
        <v>310.39999999999998</v>
      </c>
      <c r="I15" s="316">
        <f t="shared" si="6"/>
        <v>310.39999999999998</v>
      </c>
      <c r="J15" s="316">
        <f t="shared" si="6"/>
        <v>358.1</v>
      </c>
      <c r="K15" s="316">
        <f t="shared" si="6"/>
        <v>358.1</v>
      </c>
      <c r="L15" s="316">
        <f t="shared" si="6"/>
        <v>358.1</v>
      </c>
      <c r="M15" s="316">
        <f t="shared" si="6"/>
        <v>358.1</v>
      </c>
      <c r="N15" s="316">
        <f t="shared" si="6"/>
        <v>372.64310223921632</v>
      </c>
      <c r="O15" s="316">
        <f t="shared" si="6"/>
        <v>372.64310223921632</v>
      </c>
      <c r="P15" s="316">
        <f>P$3</f>
        <v>372.64310223921632</v>
      </c>
      <c r="Q15" s="390">
        <f>P15</f>
        <v>372.64310223921632</v>
      </c>
      <c r="R15" s="390">
        <f>SUM(EBITDA_bad!V$46:Y$46)</f>
        <v>406.39708095952869</v>
      </c>
      <c r="S15" s="390">
        <f>R15</f>
        <v>406.39708095952869</v>
      </c>
      <c r="T15" s="390">
        <f>S15</f>
        <v>406.39708095952869</v>
      </c>
      <c r="U15" s="390">
        <f>T15</f>
        <v>406.39708095952869</v>
      </c>
      <c r="V15" s="390">
        <f>SUM(EBITDA_bad!Z$46:AC$46)</f>
        <v>310.69376973481076</v>
      </c>
      <c r="W15" s="390">
        <f>V15</f>
        <v>310.69376973481076</v>
      </c>
      <c r="X15" s="390">
        <f>W15</f>
        <v>310.69376973481076</v>
      </c>
      <c r="Y15" s="390">
        <f>X15</f>
        <v>310.69376973481076</v>
      </c>
      <c r="Z15" s="390">
        <f>Y15</f>
        <v>310.69376973481076</v>
      </c>
      <c r="AA15" s="316"/>
    </row>
    <row r="16" spans="1:27" x14ac:dyDescent="0.25">
      <c r="A16" t="s">
        <v>391</v>
      </c>
      <c r="B16" s="316">
        <f t="shared" ref="B16:O16" si="7">B$8</f>
        <v>270248</v>
      </c>
      <c r="C16" s="316">
        <f t="shared" si="7"/>
        <v>327561</v>
      </c>
      <c r="D16" s="316">
        <f t="shared" si="7"/>
        <v>742404</v>
      </c>
      <c r="E16" s="316">
        <f t="shared" si="7"/>
        <v>554505</v>
      </c>
      <c r="F16" s="316">
        <f t="shared" si="7"/>
        <v>299527</v>
      </c>
      <c r="G16" s="316">
        <f t="shared" si="7"/>
        <v>411388</v>
      </c>
      <c r="H16" s="316">
        <f t="shared" si="7"/>
        <v>556967</v>
      </c>
      <c r="I16" s="316">
        <f t="shared" si="7"/>
        <v>317774</v>
      </c>
      <c r="J16" s="316">
        <f t="shared" si="7"/>
        <v>158756</v>
      </c>
      <c r="K16" s="316">
        <f t="shared" si="7"/>
        <v>340148</v>
      </c>
      <c r="L16" s="316">
        <f t="shared" si="7"/>
        <v>443100</v>
      </c>
      <c r="M16" s="316">
        <f t="shared" si="7"/>
        <v>271389</v>
      </c>
      <c r="N16" s="316">
        <f t="shared" si="7"/>
        <v>200213</v>
      </c>
      <c r="O16" s="316">
        <f t="shared" si="7"/>
        <v>448304</v>
      </c>
      <c r="P16" s="316">
        <f>P$8</f>
        <v>616096</v>
      </c>
      <c r="Q16" s="318">
        <f>R17*Q$10</f>
        <v>302390.01853526547</v>
      </c>
      <c r="R16" s="318">
        <f t="shared" ref="R16:Z16" si="8">S17*R$10</f>
        <v>172809.04907573503</v>
      </c>
      <c r="S16" s="318">
        <f t="shared" si="8"/>
        <v>372437.46916211129</v>
      </c>
      <c r="T16" s="318">
        <f t="shared" si="8"/>
        <v>398289.30431577185</v>
      </c>
      <c r="U16" s="318">
        <f t="shared" si="8"/>
        <v>322438.16753176635</v>
      </c>
      <c r="V16" s="318">
        <f t="shared" si="8"/>
        <v>216316.11971660005</v>
      </c>
      <c r="W16" s="318">
        <f t="shared" si="8"/>
        <v>432483.78523069172</v>
      </c>
      <c r="X16" s="318">
        <f t="shared" si="8"/>
        <v>465053.46043826622</v>
      </c>
      <c r="Y16" s="318">
        <f t="shared" si="8"/>
        <v>353591.24818431615</v>
      </c>
      <c r="Z16" s="318">
        <f t="shared" si="8"/>
        <v>216316.11971660005</v>
      </c>
    </row>
    <row r="17" spans="1:27" x14ac:dyDescent="0.25">
      <c r="A17" t="s">
        <v>392</v>
      </c>
      <c r="B17" s="316">
        <f t="shared" ref="B17:O17" si="9">B$9</f>
        <v>690000</v>
      </c>
      <c r="C17" s="316">
        <f t="shared" si="9"/>
        <v>378900</v>
      </c>
      <c r="D17" s="316">
        <f t="shared" si="9"/>
        <v>673900.00000000012</v>
      </c>
      <c r="E17" s="316">
        <f t="shared" si="9"/>
        <v>651200</v>
      </c>
      <c r="F17" s="316">
        <f t="shared" si="9"/>
        <v>561199.99999999977</v>
      </c>
      <c r="G17" s="316">
        <f t="shared" si="9"/>
        <v>545800</v>
      </c>
      <c r="H17" s="316">
        <f t="shared" si="9"/>
        <v>636100</v>
      </c>
      <c r="I17" s="316">
        <f t="shared" si="9"/>
        <v>601100</v>
      </c>
      <c r="J17" s="316">
        <f t="shared" si="9"/>
        <v>484100.00000000006</v>
      </c>
      <c r="K17" s="316">
        <f t="shared" si="9"/>
        <v>366700.00000000006</v>
      </c>
      <c r="L17" s="316">
        <f t="shared" si="9"/>
        <v>609400</v>
      </c>
      <c r="M17" s="316">
        <f t="shared" si="9"/>
        <v>602600</v>
      </c>
      <c r="N17" s="316">
        <f t="shared" si="9"/>
        <v>377700</v>
      </c>
      <c r="O17" s="316">
        <f t="shared" si="9"/>
        <v>375200</v>
      </c>
      <c r="P17" s="316">
        <f>P$9</f>
        <v>645700</v>
      </c>
      <c r="Q17" s="389">
        <f>SUM(EBITDA_bad!T$3,EBITDA_bad!T$9,EBITDA_bad!T$22)*1000</f>
        <v>444763.8946899256</v>
      </c>
      <c r="R17" s="389">
        <f>SUM(EBITDA_bad!U$3,EBITDA_bad!U$9,EBITDA_bad!U$22)*1000</f>
        <v>439855.12386375491</v>
      </c>
      <c r="S17" s="389">
        <f>SUM(EBITDA_bad!V$3,EBITDA_bad!V$9,EBITDA_bad!V$22)*1000</f>
        <v>357579.7525439125</v>
      </c>
      <c r="T17" s="389">
        <f>SUM(EBITDA_bad!W$3,EBITDA_bad!W$9,EBITDA_bad!W$22)*1000</f>
        <v>618202.99326130736</v>
      </c>
      <c r="U17" s="389">
        <f>SUM(EBITDA_bad!X$3,EBITDA_bad!X$9,EBITDA_bad!X$22)*1000</f>
        <v>479319.96297158732</v>
      </c>
      <c r="V17" s="389">
        <f>SUM(EBITDA_bad!Y$3,EBITDA_bad!Y$9,EBITDA_bad!Y$22)*1000</f>
        <v>469017.06876792014</v>
      </c>
      <c r="W17" s="389">
        <f>SUM(EBITDA_bad!Z$3,EBITDA_bad!Z$9,EBITDA_bad!Z$22)*1000</f>
        <v>447605.40592768259</v>
      </c>
      <c r="X17" s="389">
        <f>SUM(EBITDA_bad!AA$3,EBITDA_bad!AA$9,EBITDA_bad!AA$22)*1000</f>
        <v>717872.91211083462</v>
      </c>
      <c r="Y17" s="389">
        <f>SUM(EBITDA_bad!AB$3,EBITDA_bad!AB$9,EBITDA_bad!AB$22)*1000</f>
        <v>559667.06869022828</v>
      </c>
      <c r="Z17" s="389">
        <f>SUM(EBITDA_bad!AC$3,EBITDA_bad!AC$9,EBITDA_bad!AC$22)*1000</f>
        <v>514332.19595214224</v>
      </c>
      <c r="AA17" s="316">
        <f>W17</f>
        <v>447605.40592768259</v>
      </c>
    </row>
    <row r="19" spans="1:27" x14ac:dyDescent="0.25">
      <c r="A19" s="363" t="s">
        <v>405</v>
      </c>
    </row>
    <row r="20" spans="1:27" x14ac:dyDescent="0.25">
      <c r="A20" t="s">
        <v>389</v>
      </c>
      <c r="B20" s="316">
        <f t="shared" ref="B20:P20" si="10">B$2</f>
        <v>247268</v>
      </c>
      <c r="C20" s="316">
        <f t="shared" si="10"/>
        <v>209420</v>
      </c>
      <c r="D20" s="316">
        <f t="shared" si="10"/>
        <v>20773</v>
      </c>
      <c r="E20" s="316">
        <f t="shared" si="10"/>
        <v>67310</v>
      </c>
      <c r="F20" s="316">
        <f t="shared" si="10"/>
        <v>182836</v>
      </c>
      <c r="G20" s="316">
        <f t="shared" si="10"/>
        <v>79423</v>
      </c>
      <c r="H20" s="316">
        <f t="shared" si="10"/>
        <v>21299</v>
      </c>
      <c r="I20" s="316">
        <f t="shared" si="10"/>
        <v>20903</v>
      </c>
      <c r="J20" s="316">
        <f t="shared" si="10"/>
        <v>146571</v>
      </c>
      <c r="K20" s="316">
        <f t="shared" si="10"/>
        <v>62926</v>
      </c>
      <c r="L20" s="316">
        <f t="shared" si="10"/>
        <v>20031</v>
      </c>
      <c r="M20" s="316">
        <f t="shared" si="10"/>
        <v>23856</v>
      </c>
      <c r="N20" s="316">
        <f t="shared" si="10"/>
        <v>190312</v>
      </c>
      <c r="O20" s="316">
        <f t="shared" si="10"/>
        <v>91618</v>
      </c>
      <c r="P20" s="316">
        <f t="shared" si="10"/>
        <v>27970</v>
      </c>
      <c r="Q20" s="318">
        <f t="shared" ref="Q20:Z20" si="11">Q21*Q$4*1000</f>
        <v>27848.039015678351</v>
      </c>
      <c r="R20" s="318">
        <f t="shared" si="11"/>
        <v>29170.634398376475</v>
      </c>
      <c r="S20" s="318">
        <f t="shared" si="11"/>
        <v>238187.94869763122</v>
      </c>
      <c r="T20" s="318">
        <f t="shared" si="11"/>
        <v>108667.98597583915</v>
      </c>
      <c r="U20" s="318">
        <f t="shared" si="11"/>
        <v>30370.511887681812</v>
      </c>
      <c r="V20" s="318">
        <f t="shared" si="11"/>
        <v>52036.086166205016</v>
      </c>
      <c r="W20" s="318">
        <f t="shared" si="11"/>
        <v>424891.98050733452</v>
      </c>
      <c r="X20" s="318">
        <f t="shared" si="11"/>
        <v>193847.5730257495</v>
      </c>
      <c r="Y20" s="318">
        <f t="shared" si="11"/>
        <v>54176.489681935789</v>
      </c>
      <c r="Z20" s="318">
        <f t="shared" si="11"/>
        <v>52036.086166205016</v>
      </c>
      <c r="AA20" s="316"/>
    </row>
    <row r="21" spans="1:27" x14ac:dyDescent="0.25">
      <c r="A21" t="s">
        <v>390</v>
      </c>
      <c r="B21" s="316">
        <f t="shared" ref="B21:P21" si="12">B$3</f>
        <v>290.10000000000002</v>
      </c>
      <c r="C21" s="316">
        <f t="shared" si="12"/>
        <v>290.10000000000002</v>
      </c>
      <c r="D21" s="316">
        <f t="shared" si="12"/>
        <v>290.10000000000002</v>
      </c>
      <c r="E21" s="316">
        <f t="shared" si="12"/>
        <v>290.10000000000002</v>
      </c>
      <c r="F21" s="316">
        <f t="shared" si="12"/>
        <v>310.39999999999998</v>
      </c>
      <c r="G21" s="316">
        <f t="shared" si="12"/>
        <v>310.39999999999998</v>
      </c>
      <c r="H21" s="316">
        <f t="shared" si="12"/>
        <v>310.39999999999998</v>
      </c>
      <c r="I21" s="316">
        <f t="shared" si="12"/>
        <v>310.39999999999998</v>
      </c>
      <c r="J21" s="316">
        <f t="shared" si="12"/>
        <v>358.1</v>
      </c>
      <c r="K21" s="316">
        <f t="shared" si="12"/>
        <v>358.1</v>
      </c>
      <c r="L21" s="316">
        <f t="shared" si="12"/>
        <v>358.1</v>
      </c>
      <c r="M21" s="316">
        <f t="shared" si="12"/>
        <v>358.1</v>
      </c>
      <c r="N21" s="316">
        <f t="shared" si="12"/>
        <v>372.64310223921632</v>
      </c>
      <c r="O21" s="316">
        <f t="shared" si="12"/>
        <v>372.64310223921632</v>
      </c>
      <c r="P21" s="316">
        <f t="shared" si="12"/>
        <v>372.64310223921632</v>
      </c>
      <c r="Q21" s="393">
        <f>P21</f>
        <v>372.64310223921632</v>
      </c>
      <c r="R21" s="393">
        <f>SUM(EBITDA_good_ex!V$46:Y$46)</f>
        <v>406.39708095952869</v>
      </c>
      <c r="S21" s="393">
        <f>R21</f>
        <v>406.39708095952869</v>
      </c>
      <c r="T21" s="393">
        <f>S21</f>
        <v>406.39708095952869</v>
      </c>
      <c r="U21" s="393">
        <f>T21</f>
        <v>406.39708095952869</v>
      </c>
      <c r="V21" s="393">
        <f>SUM(EBITDA_good_ex!Z$46:AC$46)</f>
        <v>724.95212938122484</v>
      </c>
      <c r="W21" s="393">
        <f>V21</f>
        <v>724.95212938122484</v>
      </c>
      <c r="X21" s="393">
        <f>W21</f>
        <v>724.95212938122484</v>
      </c>
      <c r="Y21" s="393">
        <f>X21</f>
        <v>724.95212938122484</v>
      </c>
      <c r="Z21" s="393">
        <f>Y21</f>
        <v>724.95212938122484</v>
      </c>
      <c r="AA21" s="316"/>
    </row>
    <row r="22" spans="1:27" x14ac:dyDescent="0.25">
      <c r="A22" t="s">
        <v>391</v>
      </c>
      <c r="B22" s="316">
        <f t="shared" ref="B22:O22" si="13">B$8</f>
        <v>270248</v>
      </c>
      <c r="C22" s="316">
        <f t="shared" si="13"/>
        <v>327561</v>
      </c>
      <c r="D22" s="316">
        <f t="shared" si="13"/>
        <v>742404</v>
      </c>
      <c r="E22" s="316">
        <f t="shared" si="13"/>
        <v>554505</v>
      </c>
      <c r="F22" s="316">
        <f t="shared" si="13"/>
        <v>299527</v>
      </c>
      <c r="G22" s="316">
        <f t="shared" si="13"/>
        <v>411388</v>
      </c>
      <c r="H22" s="316">
        <f t="shared" si="13"/>
        <v>556967</v>
      </c>
      <c r="I22" s="316">
        <f t="shared" si="13"/>
        <v>317774</v>
      </c>
      <c r="J22" s="316">
        <f t="shared" si="13"/>
        <v>158756</v>
      </c>
      <c r="K22" s="316">
        <f t="shared" si="13"/>
        <v>340148</v>
      </c>
      <c r="L22" s="316">
        <f t="shared" si="13"/>
        <v>443100</v>
      </c>
      <c r="M22" s="316">
        <f t="shared" si="13"/>
        <v>271389</v>
      </c>
      <c r="N22" s="316">
        <f t="shared" si="13"/>
        <v>200213</v>
      </c>
      <c r="O22" s="316">
        <f t="shared" si="13"/>
        <v>448304</v>
      </c>
      <c r="P22" s="316">
        <f>P$8</f>
        <v>616096</v>
      </c>
      <c r="Q22" s="318">
        <f>R23*Q$10</f>
        <v>302390.01853526547</v>
      </c>
      <c r="R22" s="318">
        <f t="shared" ref="R22:Z22" si="14">S23*R$10</f>
        <v>196660.77917948904</v>
      </c>
      <c r="S22" s="318">
        <f t="shared" si="14"/>
        <v>433597.34032186982</v>
      </c>
      <c r="T22" s="318">
        <f t="shared" si="14"/>
        <v>462179.26239351835</v>
      </c>
      <c r="U22" s="318">
        <f t="shared" si="14"/>
        <v>382859.39557947387</v>
      </c>
      <c r="V22" s="318">
        <f t="shared" si="14"/>
        <v>303775.49256430438</v>
      </c>
      <c r="W22" s="318">
        <f t="shared" si="14"/>
        <v>617495.25951159711</v>
      </c>
      <c r="X22" s="318">
        <f t="shared" si="14"/>
        <v>662945.77259500173</v>
      </c>
      <c r="Y22" s="318">
        <f t="shared" si="14"/>
        <v>513953.12910830259</v>
      </c>
      <c r="Z22" s="318">
        <f t="shared" si="14"/>
        <v>303775.49256430438</v>
      </c>
    </row>
    <row r="23" spans="1:27" x14ac:dyDescent="0.25">
      <c r="A23" t="s">
        <v>392</v>
      </c>
      <c r="B23" s="316">
        <f t="shared" ref="B23:O23" si="15">B$9</f>
        <v>690000</v>
      </c>
      <c r="C23" s="316">
        <f t="shared" si="15"/>
        <v>378900</v>
      </c>
      <c r="D23" s="316">
        <f t="shared" si="15"/>
        <v>673900.00000000012</v>
      </c>
      <c r="E23" s="316">
        <f t="shared" si="15"/>
        <v>651200</v>
      </c>
      <c r="F23" s="316">
        <f t="shared" si="15"/>
        <v>561199.99999999977</v>
      </c>
      <c r="G23" s="316">
        <f t="shared" si="15"/>
        <v>545800</v>
      </c>
      <c r="H23" s="316">
        <f t="shared" si="15"/>
        <v>636100</v>
      </c>
      <c r="I23" s="316">
        <f t="shared" si="15"/>
        <v>601100</v>
      </c>
      <c r="J23" s="316">
        <f t="shared" si="15"/>
        <v>484100.00000000006</v>
      </c>
      <c r="K23" s="316">
        <f t="shared" si="15"/>
        <v>366700.00000000006</v>
      </c>
      <c r="L23" s="316">
        <f t="shared" si="15"/>
        <v>609400</v>
      </c>
      <c r="M23" s="316">
        <f t="shared" si="15"/>
        <v>602600</v>
      </c>
      <c r="N23" s="316">
        <f t="shared" si="15"/>
        <v>377700</v>
      </c>
      <c r="O23" s="316">
        <f t="shared" si="15"/>
        <v>375200</v>
      </c>
      <c r="P23" s="316">
        <f>P$9</f>
        <v>645700</v>
      </c>
      <c r="Q23" s="394">
        <f>SUM(EBITDA_good_ex!T$3,EBITDA_good_ex!T$9,EBITDA_good_ex!T$22)*1000</f>
        <v>444763.8946899256</v>
      </c>
      <c r="R23" s="394">
        <f>SUM(EBITDA_good_ex!U$3,EBITDA_good_ex!U$9,EBITDA_good_ex!U$22)*1000</f>
        <v>439855.12386375491</v>
      </c>
      <c r="S23" s="394">
        <f>SUM(EBITDA_good_ex!V$3,EBITDA_good_ex!V$9,EBITDA_good_ex!V$22)*1000</f>
        <v>406934.20356289065</v>
      </c>
      <c r="T23" s="394">
        <f>SUM(EBITDA_good_ex!W$3,EBITDA_good_ex!W$9,EBITDA_good_ex!W$22)*1000</f>
        <v>719721.28438142384</v>
      </c>
      <c r="U23" s="394">
        <f>SUM(EBITDA_good_ex!X$3,EBITDA_good_ex!X$9,EBITDA_good_ex!X$22)*1000</f>
        <v>556208.12443675834</v>
      </c>
      <c r="V23" s="394">
        <f>SUM(EBITDA_good_ex!Y$3,EBITDA_good_ex!Y$9,EBITDA_good_ex!Y$22)*1000</f>
        <v>556905.507928901</v>
      </c>
      <c r="W23" s="394">
        <f>SUM(EBITDA_good_ex!Z$3,EBITDA_good_ex!Z$9,EBITDA_good_ex!Z$22)*1000</f>
        <v>628577.99427183776</v>
      </c>
      <c r="X23" s="394">
        <f>SUM(EBITDA_good_ex!AA$3,EBITDA_good_ex!AA$9,EBITDA_good_ex!AA$22)*1000</f>
        <v>1024970.4966945144</v>
      </c>
      <c r="Y23" s="394">
        <f>SUM(EBITDA_good_ex!AB$3,EBITDA_good_ex!AB$9,EBITDA_good_ex!AB$22)*1000</f>
        <v>797819.92569019005</v>
      </c>
      <c r="Z23" s="394">
        <f>SUM(EBITDA_good_ex!AC$3,EBITDA_good_ex!AC$9,EBITDA_good_ex!AC$22)*1000</f>
        <v>747593.84704271448</v>
      </c>
      <c r="AA23" s="316">
        <f>W23</f>
        <v>628577.99427183776</v>
      </c>
    </row>
    <row r="25" spans="1:27" x14ac:dyDescent="0.25">
      <c r="A25" s="388" t="s">
        <v>406</v>
      </c>
    </row>
    <row r="26" spans="1:27" x14ac:dyDescent="0.25">
      <c r="A26" t="s">
        <v>389</v>
      </c>
      <c r="B26" s="316">
        <f t="shared" ref="B26:P26" si="16">B$2</f>
        <v>247268</v>
      </c>
      <c r="C26" s="316">
        <f t="shared" si="16"/>
        <v>209420</v>
      </c>
      <c r="D26" s="316">
        <f t="shared" si="16"/>
        <v>20773</v>
      </c>
      <c r="E26" s="316">
        <f t="shared" si="16"/>
        <v>67310</v>
      </c>
      <c r="F26" s="316">
        <f t="shared" si="16"/>
        <v>182836</v>
      </c>
      <c r="G26" s="316">
        <f t="shared" si="16"/>
        <v>79423</v>
      </c>
      <c r="H26" s="316">
        <f t="shared" si="16"/>
        <v>21299</v>
      </c>
      <c r="I26" s="316">
        <f t="shared" si="16"/>
        <v>20903</v>
      </c>
      <c r="J26" s="316">
        <f t="shared" si="16"/>
        <v>146571</v>
      </c>
      <c r="K26" s="316">
        <f t="shared" si="16"/>
        <v>62926</v>
      </c>
      <c r="L26" s="316">
        <f t="shared" si="16"/>
        <v>20031</v>
      </c>
      <c r="M26" s="316">
        <f t="shared" si="16"/>
        <v>23856</v>
      </c>
      <c r="N26" s="316">
        <f t="shared" si="16"/>
        <v>190312</v>
      </c>
      <c r="O26" s="316">
        <f t="shared" si="16"/>
        <v>91618</v>
      </c>
      <c r="P26" s="316">
        <f t="shared" si="16"/>
        <v>27970</v>
      </c>
      <c r="Q26" s="318">
        <f t="shared" ref="Q26:Z26" si="17">Q27*Q$4*1000</f>
        <v>27848.039015678351</v>
      </c>
      <c r="R26" s="318">
        <f t="shared" si="17"/>
        <v>29170.634398376475</v>
      </c>
      <c r="S26" s="318">
        <f t="shared" si="17"/>
        <v>238187.94869763122</v>
      </c>
      <c r="T26" s="318">
        <f t="shared" si="17"/>
        <v>108667.98597583915</v>
      </c>
      <c r="U26" s="318">
        <f t="shared" si="17"/>
        <v>30370.511887681812</v>
      </c>
      <c r="V26" s="318">
        <f t="shared" si="17"/>
        <v>22301.179785516444</v>
      </c>
      <c r="W26" s="318">
        <f t="shared" si="17"/>
        <v>182096.56307457198</v>
      </c>
      <c r="X26" s="318">
        <f t="shared" si="17"/>
        <v>83077.531296749832</v>
      </c>
      <c r="Y26" s="318">
        <f t="shared" si="17"/>
        <v>23218.495577972491</v>
      </c>
      <c r="Z26" s="318">
        <f t="shared" si="17"/>
        <v>22301.179785516444</v>
      </c>
      <c r="AA26" s="316"/>
    </row>
    <row r="27" spans="1:27" x14ac:dyDescent="0.25">
      <c r="A27" t="s">
        <v>390</v>
      </c>
      <c r="B27" s="316">
        <f t="shared" ref="B27:P27" si="18">B$3</f>
        <v>290.10000000000002</v>
      </c>
      <c r="C27" s="316">
        <f t="shared" si="18"/>
        <v>290.10000000000002</v>
      </c>
      <c r="D27" s="316">
        <f t="shared" si="18"/>
        <v>290.10000000000002</v>
      </c>
      <c r="E27" s="316">
        <f t="shared" si="18"/>
        <v>290.10000000000002</v>
      </c>
      <c r="F27" s="316">
        <f t="shared" si="18"/>
        <v>310.39999999999998</v>
      </c>
      <c r="G27" s="316">
        <f t="shared" si="18"/>
        <v>310.39999999999998</v>
      </c>
      <c r="H27" s="316">
        <f t="shared" si="18"/>
        <v>310.39999999999998</v>
      </c>
      <c r="I27" s="316">
        <f t="shared" si="18"/>
        <v>310.39999999999998</v>
      </c>
      <c r="J27" s="316">
        <f t="shared" si="18"/>
        <v>358.1</v>
      </c>
      <c r="K27" s="316">
        <f t="shared" si="18"/>
        <v>358.1</v>
      </c>
      <c r="L27" s="316">
        <f t="shared" si="18"/>
        <v>358.1</v>
      </c>
      <c r="M27" s="316">
        <f t="shared" si="18"/>
        <v>358.1</v>
      </c>
      <c r="N27" s="316">
        <f t="shared" si="18"/>
        <v>372.64310223921632</v>
      </c>
      <c r="O27" s="316">
        <f t="shared" si="18"/>
        <v>372.64310223921632</v>
      </c>
      <c r="P27" s="316">
        <f t="shared" si="18"/>
        <v>372.64310223921632</v>
      </c>
      <c r="Q27" s="390">
        <f>P27</f>
        <v>372.64310223921632</v>
      </c>
      <c r="R27" s="390">
        <f>SUM(EBITDA_bad!V$46:Y$46)</f>
        <v>406.39708095952869</v>
      </c>
      <c r="S27" s="390">
        <f>R27</f>
        <v>406.39708095952869</v>
      </c>
      <c r="T27" s="390">
        <f>S27</f>
        <v>406.39708095952869</v>
      </c>
      <c r="U27" s="390">
        <f>T27</f>
        <v>406.39708095952869</v>
      </c>
      <c r="V27" s="390">
        <f>SUM(EBITDA_bad!Z$46:AC$46)</f>
        <v>310.69376973481076</v>
      </c>
      <c r="W27" s="390">
        <f>V27</f>
        <v>310.69376973481076</v>
      </c>
      <c r="X27" s="390">
        <f>W27</f>
        <v>310.69376973481076</v>
      </c>
      <c r="Y27" s="390">
        <f>X27</f>
        <v>310.69376973481076</v>
      </c>
      <c r="Z27" s="390">
        <f>Y27</f>
        <v>310.69376973481076</v>
      </c>
      <c r="AA27" s="316"/>
    </row>
    <row r="28" spans="1:27" x14ac:dyDescent="0.25">
      <c r="A28" t="s">
        <v>391</v>
      </c>
      <c r="B28" s="316">
        <f t="shared" ref="B28:O28" si="19">B$8</f>
        <v>270248</v>
      </c>
      <c r="C28" s="316">
        <f t="shared" si="19"/>
        <v>327561</v>
      </c>
      <c r="D28" s="316">
        <f t="shared" si="19"/>
        <v>742404</v>
      </c>
      <c r="E28" s="316">
        <f t="shared" si="19"/>
        <v>554505</v>
      </c>
      <c r="F28" s="316">
        <f t="shared" si="19"/>
        <v>299527</v>
      </c>
      <c r="G28" s="316">
        <f t="shared" si="19"/>
        <v>411388</v>
      </c>
      <c r="H28" s="316">
        <f t="shared" si="19"/>
        <v>556967</v>
      </c>
      <c r="I28" s="316">
        <f t="shared" si="19"/>
        <v>317774</v>
      </c>
      <c r="J28" s="316">
        <f t="shared" si="19"/>
        <v>158756</v>
      </c>
      <c r="K28" s="316">
        <f t="shared" si="19"/>
        <v>340148</v>
      </c>
      <c r="L28" s="316">
        <f t="shared" si="19"/>
        <v>443100</v>
      </c>
      <c r="M28" s="316">
        <f t="shared" si="19"/>
        <v>271389</v>
      </c>
      <c r="N28" s="316">
        <f t="shared" si="19"/>
        <v>200213</v>
      </c>
      <c r="O28" s="316">
        <f t="shared" si="19"/>
        <v>448304</v>
      </c>
      <c r="P28" s="316">
        <f>P$8</f>
        <v>616096</v>
      </c>
      <c r="Q28" s="318">
        <f>R29*Q$10</f>
        <v>302390.01853526547</v>
      </c>
      <c r="R28" s="318">
        <f t="shared" ref="R28:Z28" si="20">S29*R$10</f>
        <v>172809.04907573503</v>
      </c>
      <c r="S28" s="318">
        <f t="shared" si="20"/>
        <v>372437.46916211129</v>
      </c>
      <c r="T28" s="318">
        <f t="shared" si="20"/>
        <v>398289.30431577185</v>
      </c>
      <c r="U28" s="318">
        <f t="shared" si="20"/>
        <v>322438.16753176635</v>
      </c>
      <c r="V28" s="318">
        <f t="shared" si="20"/>
        <v>216316.11971660005</v>
      </c>
      <c r="W28" s="318">
        <f t="shared" si="20"/>
        <v>432483.78523069172</v>
      </c>
      <c r="X28" s="318">
        <f t="shared" si="20"/>
        <v>465053.46043826622</v>
      </c>
      <c r="Y28" s="318">
        <f t="shared" si="20"/>
        <v>353591.24818431615</v>
      </c>
      <c r="Z28" s="318">
        <f t="shared" si="20"/>
        <v>216316.11971660005</v>
      </c>
    </row>
    <row r="29" spans="1:27" x14ac:dyDescent="0.25">
      <c r="A29" t="s">
        <v>392</v>
      </c>
      <c r="B29" s="316">
        <f t="shared" ref="B29:O29" si="21">B$9</f>
        <v>690000</v>
      </c>
      <c r="C29" s="316">
        <f t="shared" si="21"/>
        <v>378900</v>
      </c>
      <c r="D29" s="316">
        <f t="shared" si="21"/>
        <v>673900.00000000012</v>
      </c>
      <c r="E29" s="316">
        <f t="shared" si="21"/>
        <v>651200</v>
      </c>
      <c r="F29" s="316">
        <f t="shared" si="21"/>
        <v>561199.99999999977</v>
      </c>
      <c r="G29" s="316">
        <f t="shared" si="21"/>
        <v>545800</v>
      </c>
      <c r="H29" s="316">
        <f t="shared" si="21"/>
        <v>636100</v>
      </c>
      <c r="I29" s="316">
        <f t="shared" si="21"/>
        <v>601100</v>
      </c>
      <c r="J29" s="316">
        <f t="shared" si="21"/>
        <v>484100.00000000006</v>
      </c>
      <c r="K29" s="316">
        <f t="shared" si="21"/>
        <v>366700.00000000006</v>
      </c>
      <c r="L29" s="316">
        <f t="shared" si="21"/>
        <v>609400</v>
      </c>
      <c r="M29" s="316">
        <f t="shared" si="21"/>
        <v>602600</v>
      </c>
      <c r="N29" s="316">
        <f t="shared" si="21"/>
        <v>377700</v>
      </c>
      <c r="O29" s="316">
        <f t="shared" si="21"/>
        <v>375200</v>
      </c>
      <c r="P29" s="316">
        <f>P$9</f>
        <v>645700</v>
      </c>
      <c r="Q29" s="389">
        <f>SUM(EBITDA_bad!T$3,EBITDA_bad!T$9,EBITDA_bad!T$22)*1000</f>
        <v>444763.8946899256</v>
      </c>
      <c r="R29" s="389">
        <f>SUM(EBITDA_bad!U$3,EBITDA_bad!U$9,EBITDA_bad!U$22)*1000</f>
        <v>439855.12386375491</v>
      </c>
      <c r="S29" s="389">
        <f>SUM(EBITDA_bad!V$3,EBITDA_bad!V$9,EBITDA_bad!V$22)*1000</f>
        <v>357579.7525439125</v>
      </c>
      <c r="T29" s="389">
        <f>SUM(EBITDA_bad!W$3,EBITDA_bad!W$9,EBITDA_bad!W$22)*1000</f>
        <v>618202.99326130736</v>
      </c>
      <c r="U29" s="389">
        <f>SUM(EBITDA_bad!X$3,EBITDA_bad!X$9,EBITDA_bad!X$22)*1000</f>
        <v>479319.96297158732</v>
      </c>
      <c r="V29" s="389">
        <f>SUM(EBITDA_bad!Y$3,EBITDA_bad!Y$9,EBITDA_bad!Y$22)*1000</f>
        <v>469017.06876792014</v>
      </c>
      <c r="W29" s="389">
        <f>SUM(EBITDA_bad!Z$3,EBITDA_bad!Z$9,EBITDA_bad!Z$22)*1000</f>
        <v>447605.40592768259</v>
      </c>
      <c r="X29" s="389">
        <f>SUM(EBITDA_bad!AA$3,EBITDA_bad!AA$9,EBITDA_bad!AA$22)*1000</f>
        <v>717872.91211083462</v>
      </c>
      <c r="Y29" s="389">
        <f>SUM(EBITDA_bad!AB$3,EBITDA_bad!AB$9,EBITDA_bad!AB$22)*1000</f>
        <v>559667.06869022828</v>
      </c>
      <c r="Z29" s="389">
        <f>SUM(EBITDA_bad!AC$3,EBITDA_bad!AC$9,EBITDA_bad!AC$22)*1000</f>
        <v>514332.19595214224</v>
      </c>
      <c r="AA29" s="316">
        <f>W29</f>
        <v>447605.40592768259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A1:N86"/>
  <sheetViews>
    <sheetView tabSelected="1" zoomScaleNormal="100" workbookViewId="0">
      <selection activeCell="K2" sqref="K2:N2"/>
    </sheetView>
  </sheetViews>
  <sheetFormatPr defaultRowHeight="13.2" outlineLevelCol="1" x14ac:dyDescent="0.25"/>
  <cols>
    <col min="1" max="1" width="32.21875" bestFit="1" customWidth="1"/>
    <col min="2" max="2" width="13.77734375" customWidth="1" outlineLevel="1"/>
    <col min="3" max="4" width="11.109375" customWidth="1"/>
  </cols>
  <sheetData>
    <row r="1" spans="1:14" x14ac:dyDescent="0.25">
      <c r="A1" s="363" t="s">
        <v>397</v>
      </c>
      <c r="B1" s="52" t="s">
        <v>173</v>
      </c>
      <c r="C1" s="73" t="s">
        <v>174</v>
      </c>
      <c r="D1" s="48" t="s">
        <v>175</v>
      </c>
      <c r="E1" s="88" t="s">
        <v>176</v>
      </c>
      <c r="F1" s="89" t="s">
        <v>177</v>
      </c>
      <c r="G1" s="90" t="s">
        <v>205</v>
      </c>
      <c r="H1" s="88" t="s">
        <v>206</v>
      </c>
      <c r="I1" s="88" t="s">
        <v>207</v>
      </c>
      <c r="J1" s="89" t="s">
        <v>208</v>
      </c>
      <c r="K1" s="90" t="s">
        <v>382</v>
      </c>
      <c r="L1" s="88" t="s">
        <v>383</v>
      </c>
      <c r="M1" s="88" t="s">
        <v>384</v>
      </c>
      <c r="N1" s="89" t="s">
        <v>385</v>
      </c>
    </row>
    <row r="2" spans="1:14" x14ac:dyDescent="0.25">
      <c r="A2" t="s">
        <v>14</v>
      </c>
      <c r="B2" s="316">
        <f>SUM(EBITDA_good!Q$3,EBITDA_good!Q$9,EBITDA_good!Q$22,EBITDA_good!Q$29,EBITDA_good!Q$37,EBITDA_good!Q$46)*1000</f>
        <v>398499.99999999994</v>
      </c>
      <c r="C2" s="316">
        <f>SUM(EBITDA_good!R$3,EBITDA_good!R$9,EBITDA_good!R$22,EBITDA_good!R$29,EBITDA_good!R$37,EBITDA_good!R$46)*1000</f>
        <v>544500</v>
      </c>
      <c r="D2" s="316">
        <f>SUM(EBITDA_good!S$3,EBITDA_good!S$9,EBITDA_good!S$22,EBITDA_good!S$29,EBITDA_good!S$37,EBITDA_good!S$46)*1000</f>
        <v>819100</v>
      </c>
      <c r="E2" s="316">
        <f>SUM(EBITDA_good!T$3,EBITDA_good!T$9,EBITDA_good!T$22,EBITDA_good!T$29,EBITDA_good!T$37,EBITDA_good!T$46)*1000</f>
        <v>513648.62756862305</v>
      </c>
      <c r="F2" s="316">
        <f>SUM(EBITDA_good!U$3,EBITDA_good!U$9,EBITDA_good!U$22,EBITDA_good!U$29,EBITDA_good!U$37,EBITDA_good!U$46)*1000</f>
        <v>501664.80036790244</v>
      </c>
      <c r="G2" s="316">
        <f>SUM(EBITDA_good!V$3,EBITDA_good!V$9,EBITDA_good!V$22,EBITDA_good!V$29,EBITDA_good!V$37,EBITDA_good!V$46)*1000</f>
        <v>524578.1167831854</v>
      </c>
      <c r="H2" s="316">
        <f>SUM(EBITDA_good!W$3,EBITDA_good!W$9,EBITDA_good!W$22,EBITDA_good!W$29,EBITDA_good!W$37,EBITDA_good!W$46)*1000</f>
        <v>951045.02577074931</v>
      </c>
      <c r="I2" s="316">
        <f>SUM(EBITDA_good!X$3,EBITDA_good!X$9,EBITDA_good!X$22,EBITDA_good!X$29,EBITDA_good!X$37,EBITDA_good!X$46)*1000</f>
        <v>630663.85262769845</v>
      </c>
      <c r="J2" s="316">
        <f>SUM(EBITDA_good!Y$3,EBITDA_good!Y$9,EBITDA_good!Y$22,EBITDA_good!Y$29,EBITDA_good!Y$37,EBITDA_good!Y$46)*1000</f>
        <v>639974.70723149797</v>
      </c>
      <c r="K2" s="316">
        <f>SUM(EBITDA_good!Z$3,EBITDA_good!Z$9,EBITDA_good!Z$22,EBITDA_good!Z$29,EBITDA_good!Z$37,EBITDA_good!Z$46)*1000</f>
        <v>816080.39838353253</v>
      </c>
      <c r="L2" s="316">
        <f>SUM(EBITDA_good!AA$3,EBITDA_good!AA$9,EBITDA_good!AA$22,EBITDA_good!AA$29,EBITDA_good!AA$37,EBITDA_good!AA$46)*1000</f>
        <v>1383365.4335262389</v>
      </c>
      <c r="M2" s="316">
        <f>SUM(EBITDA_good!AB$3,EBITDA_good!AB$9,EBITDA_good!AB$22,EBITDA_good!AB$29,EBITDA_good!AB$37,EBITDA_good!AB$46)*1000</f>
        <v>914946.79832076712</v>
      </c>
      <c r="N2" s="316">
        <f>SUM(EBITDA_good!AC$3,EBITDA_good!AC$9,EBITDA_good!AC$22,EBITDA_good!AC$29,EBITDA_good!AC$37,EBITDA_good!AC$46)*1000</f>
        <v>876262.69955467479</v>
      </c>
    </row>
    <row r="3" spans="1:14" x14ac:dyDescent="0.25">
      <c r="A3" t="s">
        <v>17</v>
      </c>
      <c r="B3" s="316">
        <f>EBITDA_good!Q$57*1000</f>
        <v>47300.000000000015</v>
      </c>
      <c r="C3" s="316">
        <f>EBITDA_good!R$57*1000</f>
        <v>72400</v>
      </c>
      <c r="D3" s="316">
        <f>EBITDA_good!S$57*1000</f>
        <v>130199.99999999999</v>
      </c>
      <c r="E3" s="360">
        <f>EBITDA_good!T$57*1000</f>
        <v>51015.488030696972</v>
      </c>
      <c r="F3" s="360">
        <f>EBITDA_good!U$57*1000</f>
        <v>44846.662868679188</v>
      </c>
      <c r="G3" s="360">
        <f>EBITDA_good!V$57*1000</f>
        <v>67878.485048958755</v>
      </c>
      <c r="H3" s="360">
        <f>EBITDA_good!W$57*1000</f>
        <v>149493.11369583887</v>
      </c>
      <c r="I3" s="360">
        <f>EBITDA_good!X$57*1000</f>
        <v>57953.312319590506</v>
      </c>
      <c r="J3" s="360">
        <f>EBITDA_good!Y$57*1000</f>
        <v>63196.187082483862</v>
      </c>
      <c r="K3" s="360">
        <f>EBITDA_good!Z$57*1000</f>
        <v>108574.17730245307</v>
      </c>
      <c r="L3" s="360">
        <f>EBITDA_good!AA$57*1000</f>
        <v>217673.00362658405</v>
      </c>
      <c r="M3" s="360">
        <f>EBITDA_good!AB$57*1000</f>
        <v>90017.724148855035</v>
      </c>
      <c r="N3" s="360">
        <f>EBITDA_good!AC$57*1000</f>
        <v>92896.486774480145</v>
      </c>
    </row>
    <row r="4" spans="1:14" x14ac:dyDescent="0.25">
      <c r="A4" t="s">
        <v>394</v>
      </c>
      <c r="B4" s="316">
        <f>225150-232618</f>
        <v>-7468</v>
      </c>
      <c r="C4" s="316">
        <f>159502-D4</f>
        <v>64138</v>
      </c>
      <c r="D4" s="316">
        <v>95364</v>
      </c>
      <c r="E4" s="360">
        <f>CF_good!T$58</f>
        <v>10279.499978345624</v>
      </c>
      <c r="F4" s="360">
        <f>CF_good!U$58</f>
        <v>7088.8744658491687</v>
      </c>
      <c r="G4" s="360">
        <f>CF_good!V$58</f>
        <v>23197.060034835889</v>
      </c>
      <c r="H4" s="360">
        <f>CF_good!W$58</f>
        <v>96382.875791599072</v>
      </c>
      <c r="I4" s="360">
        <f>CF_good!X$58</f>
        <v>14942.381104176355</v>
      </c>
      <c r="J4" s="360">
        <f>CF_good!Y$58</f>
        <v>19684.948288991542</v>
      </c>
      <c r="K4" s="360">
        <f>CF_good!Z$58</f>
        <v>50300.032215696963</v>
      </c>
      <c r="L4" s="360">
        <f>CF_good!AA$58</f>
        <v>150964.39796978922</v>
      </c>
      <c r="M4" s="360">
        <f>CF_good!AB$58</f>
        <v>42444.773948186084</v>
      </c>
      <c r="N4" s="360">
        <f>CF_good!AC$58</f>
        <v>47997.049592075986</v>
      </c>
    </row>
    <row r="5" spans="1:14" x14ac:dyDescent="0.25">
      <c r="A5" t="s">
        <v>409</v>
      </c>
      <c r="B5" s="398">
        <f>B4/BS_good!Q$54*1000</f>
        <v>-9.1761549087311101E-2</v>
      </c>
      <c r="C5" s="398">
        <f>C4/BS_good!R$54*1000</f>
        <v>0.78318195332304918</v>
      </c>
      <c r="D5" s="398">
        <f>D4/BS_good!S$54*1000</f>
        <v>1.162807697488464</v>
      </c>
      <c r="E5" s="399">
        <f>E4/BS_good!T$54*1000</f>
        <v>0.12534165619261767</v>
      </c>
      <c r="F5" s="399">
        <f>F4/BS_good!U$54*1000</f>
        <v>8.6437206864423008E-2</v>
      </c>
      <c r="G5" s="399">
        <f>G4/BS_good!V$54*1000</f>
        <v>0.28285013178567581</v>
      </c>
      <c r="H5" s="399">
        <f>H4/BS_good!W$54*1000</f>
        <v>1.1752312180334921</v>
      </c>
      <c r="I5" s="399">
        <f>I4/BS_good!X$54*1000</f>
        <v>0.1821978499931047</v>
      </c>
      <c r="J5" s="399">
        <f>J4/BS_good!Y$54*1000</f>
        <v>0.24002568469340349</v>
      </c>
      <c r="K5" s="399">
        <f>K4/BS_good!Z$54*1000</f>
        <v>0.61332646118378153</v>
      </c>
      <c r="L5" s="399">
        <f>L4/BS_good!AA$54*1000</f>
        <v>1.8407634328046512</v>
      </c>
      <c r="M5" s="399">
        <f>M4/BS_good!AB$54*1000</f>
        <v>0.51754445980777442</v>
      </c>
      <c r="N5" s="399">
        <f>N4/BS_good!AC$54*1000</f>
        <v>0.58524536221636558</v>
      </c>
    </row>
    <row r="6" spans="1:14" x14ac:dyDescent="0.25">
      <c r="A6" s="52" t="s">
        <v>313</v>
      </c>
      <c r="B6" s="395">
        <f>BS_good!Q$55</f>
        <v>12.23</v>
      </c>
      <c r="C6" s="395">
        <f>BS_good!R$55</f>
        <v>12.56</v>
      </c>
      <c r="D6" s="395">
        <f>BS_good!S$55</f>
        <v>13.28</v>
      </c>
      <c r="E6" s="396">
        <f>BS_good!T$55</f>
        <v>13.401058756604984</v>
      </c>
      <c r="F6" s="396">
        <f>BS_good!U$55</f>
        <v>13.24459201500177</v>
      </c>
      <c r="G6" s="396">
        <f>BS_good!V$55</f>
        <v>13.527442146787447</v>
      </c>
      <c r="H6" s="396">
        <f>BS_good!W$55</f>
        <v>14.702673364820939</v>
      </c>
      <c r="I6" s="396">
        <f>BS_good!X$55</f>
        <v>14.884871214814044</v>
      </c>
      <c r="J6" s="396">
        <f>BS_good!Y$55</f>
        <v>14.881992951039811</v>
      </c>
      <c r="K6" s="396">
        <f>BS_good!Z$55</f>
        <v>15.495319412223592</v>
      </c>
      <c r="L6" s="396">
        <f>BS_good!AA$55</f>
        <v>17.336082845028244</v>
      </c>
      <c r="M6" s="396">
        <f>BS_good!AB$55</f>
        <v>17.853627304836017</v>
      </c>
      <c r="N6" s="397">
        <f>BS_good!AC$55</f>
        <v>18.195968718584748</v>
      </c>
    </row>
    <row r="7" spans="1:14" x14ac:dyDescent="0.25">
      <c r="A7" t="s">
        <v>395</v>
      </c>
      <c r="B7" s="29">
        <f>(BS_good!Q$32+BS_good!Q$38)/BS_good!Q$47</f>
        <v>0.51470418323991363</v>
      </c>
      <c r="C7" s="29">
        <f>(BS_good!R$32+BS_good!R$38)/BS_good!R$47</f>
        <v>0.60500043752613009</v>
      </c>
      <c r="D7" s="29">
        <f>(BS_good!S$32+BS_good!S$38)/BS_good!S$47</f>
        <v>0.76102302974192804</v>
      </c>
      <c r="E7" s="364">
        <f>(BS_good!T$32+BS_good!T$38)/BS_good!T$47</f>
        <v>0.65656259607166778</v>
      </c>
      <c r="F7" s="364">
        <f>(BS_good!U$32+BS_good!U$38)/BS_good!U$47</f>
        <v>0.67089031024927492</v>
      </c>
      <c r="G7" s="364">
        <f>(BS_good!V$32+BS_good!V$38)/BS_good!V$47</f>
        <v>0.84275065087141343</v>
      </c>
      <c r="H7" s="364">
        <f>(BS_good!W$32+BS_good!W$38)/BS_good!W$47</f>
        <v>0.60869961745997625</v>
      </c>
      <c r="I7" s="364">
        <f>(BS_good!X$32+BS_good!X$38)/BS_good!X$47</f>
        <v>0.60362117671073456</v>
      </c>
      <c r="J7" s="364">
        <f>(BS_good!Y$32+BS_good!Y$38)/BS_good!Y$47</f>
        <v>0.60198780593625112</v>
      </c>
      <c r="K7" s="364">
        <f>(BS_good!Z$32+BS_good!Z$38)/BS_good!Z$47</f>
        <v>0.92996985264445364</v>
      </c>
      <c r="L7" s="364">
        <f>(BS_good!AA$32+BS_good!AA$38)/BS_good!AA$47</f>
        <v>0.58624887496890077</v>
      </c>
      <c r="M7" s="364">
        <f>(BS_good!AB$32+BS_good!AB$38)/BS_good!AB$47</f>
        <v>0.50150212471717559</v>
      </c>
      <c r="N7" s="364">
        <f>(BS_good!AC$32+BS_good!AC$38)/BS_good!AC$47</f>
        <v>0.49199391898198636</v>
      </c>
    </row>
    <row r="8" spans="1:14" x14ac:dyDescent="0.25">
      <c r="A8" t="s">
        <v>396</v>
      </c>
      <c r="B8" s="316">
        <f>CF_good!Q$29</f>
        <v>34162</v>
      </c>
      <c r="C8" s="316">
        <f>CF_good!R$29</f>
        <v>-29734</v>
      </c>
      <c r="D8" s="316">
        <f>CF_good!S$29</f>
        <v>-187885</v>
      </c>
      <c r="E8" s="360">
        <f>CF_good!T$29</f>
        <v>460628.46742740186</v>
      </c>
      <c r="F8" s="360">
        <f>CF_good!U$29</f>
        <v>123979.5283868441</v>
      </c>
      <c r="G8" s="360">
        <f>CF_good!V$29</f>
        <v>-424324.17995096196</v>
      </c>
      <c r="H8" s="360">
        <f>CF_good!W$29</f>
        <v>209961.50745963521</v>
      </c>
      <c r="I8" s="360">
        <f>CF_good!X$29</f>
        <v>191291.85358234574</v>
      </c>
      <c r="J8" s="360">
        <f>CF_good!Y$29</f>
        <v>109012.71589266536</v>
      </c>
      <c r="K8" s="360">
        <f>CF_good!Z$29</f>
        <v>-563588.68141118868</v>
      </c>
      <c r="L8" s="360">
        <f>CF_good!AA$29</f>
        <v>303270.95557117002</v>
      </c>
      <c r="M8" s="360">
        <f>CF_good!AB$29</f>
        <v>338192.6461278054</v>
      </c>
      <c r="N8" s="360">
        <f>CF_good!AC$29</f>
        <v>296416.33367361798</v>
      </c>
    </row>
    <row r="9" spans="1:14" x14ac:dyDescent="0.25">
      <c r="A9" t="s">
        <v>404</v>
      </c>
      <c r="B9" s="28">
        <f>(CF_good!Q$2+CF_good!Q$5)/B2</f>
        <v>1.0138017565872022E-2</v>
      </c>
      <c r="C9" s="28">
        <f>(CF_good!R$2+CF_good!R$5)/C2</f>
        <v>0.14313131313131314</v>
      </c>
      <c r="D9" s="28">
        <f>(CF_good!S$2+CF_good!S$5)/D2</f>
        <v>0.14157001587107801</v>
      </c>
      <c r="E9" s="391">
        <f>(CF_good!T$2+CF_good!T$5)/E2</f>
        <v>7.2887302761643652E-2</v>
      </c>
      <c r="F9" s="391">
        <f>(CF_good!U$2+CF_good!U$5)/F2</f>
        <v>6.3580940030150815E-2</v>
      </c>
      <c r="G9" s="391">
        <f>(CF_good!V$2+CF_good!V$5)/G2</f>
        <v>0.10409976885635612</v>
      </c>
      <c r="H9" s="391">
        <f>(CF_good!W$2+CF_good!W$5)/H2</f>
        <v>0.13876514647728982</v>
      </c>
      <c r="I9" s="391">
        <f>(CF_good!X$2+CF_good!X$5)/I2</f>
        <v>6.3739381094016445E-2</v>
      </c>
      <c r="J9" s="391">
        <f>(CF_good!Y$2+CF_good!Y$5)/J2</f>
        <v>7.0645617216631304E-2</v>
      </c>
      <c r="K9" s="391">
        <f>(CF_good!Z$2+CF_good!Z$5)/K2</f>
        <v>0.11072942469699627</v>
      </c>
      <c r="L9" s="391">
        <f>(CF_good!AA$2+CF_good!AA$5)/L2</f>
        <v>0.14429800919639224</v>
      </c>
      <c r="M9" s="391">
        <f>(CF_good!AB$2+CF_good!AB$5)/M2</f>
        <v>7.8816223039572322E-2</v>
      </c>
      <c r="N9" s="391">
        <f>(CF_good!AC$2+CF_good!AC$5)/N2</f>
        <v>8.575012232351828E-2</v>
      </c>
    </row>
    <row r="10" spans="1:14" x14ac:dyDescent="0.25">
      <c r="A10" t="s">
        <v>398</v>
      </c>
      <c r="B10" s="28">
        <f>B4/BS_good!P$49*4</f>
        <v>-3.1310793586905479E-2</v>
      </c>
      <c r="C10" s="28">
        <f>C4/BS_good!Q$49*4</f>
        <v>0.25730977729413124</v>
      </c>
      <c r="D10" s="28">
        <f>D4/BS_good!R$49*4</f>
        <v>0.37027445209561655</v>
      </c>
      <c r="E10" s="28">
        <f>E4/BS_good!S$49*4</f>
        <v>3.7654811582515393E-2</v>
      </c>
      <c r="F10" s="28">
        <f>F4/BS_good!T$49*4</f>
        <v>2.5725070788249083E-2</v>
      </c>
      <c r="G10" s="28">
        <f>G4/BS_good!U$49*4</f>
        <v>8.5172195681468124E-2</v>
      </c>
      <c r="H10" s="28">
        <f>H4/BS_good!V$49*4</f>
        <v>0.34650890569211912</v>
      </c>
      <c r="I10" s="28">
        <f>I4/BS_good!W$49*4</f>
        <v>4.9437186530177792E-2</v>
      </c>
      <c r="J10" s="28">
        <f>J4/BS_good!X$49*4</f>
        <v>6.4332961047777373E-2</v>
      </c>
      <c r="K10" s="28">
        <f>K4/BS_good!Y$49*4</f>
        <v>0.16441873138548727</v>
      </c>
      <c r="L10" s="28">
        <f>L4/BS_good!Z$49*4</f>
        <v>0.47398344073955923</v>
      </c>
      <c r="M10" s="28">
        <f>M4/BS_good!AA$49*4</f>
        <v>0.11914572760865182</v>
      </c>
      <c r="N10" s="28">
        <f>N4/BS_good!AB$49*4</f>
        <v>0.1308343030464818</v>
      </c>
    </row>
    <row r="11" spans="1:14" x14ac:dyDescent="0.25">
      <c r="A11" t="s">
        <v>399</v>
      </c>
      <c r="E11" s="28">
        <f>SUM(B4:E4)/BS_good!P$49</f>
        <v>0.17013137701493594</v>
      </c>
      <c r="F11" s="28">
        <f>SUM(C4:F4)/BS_good!Q$49</f>
        <v>0.17739279622908943</v>
      </c>
      <c r="G11" s="28">
        <f>SUM(D4:G4)/BS_good!R$49</f>
        <v>0.13194496056003865</v>
      </c>
      <c r="H11" s="28">
        <f>SUM(E4:H4)/BS_good!S$49</f>
        <v>0.12541375627821022</v>
      </c>
      <c r="I11" s="28">
        <f>SUM(F4:I4)/BS_good!T$49</f>
        <v>0.12847448281924997</v>
      </c>
      <c r="J11" s="28">
        <f>SUM(G4:J4)/BS_good!U$49</f>
        <v>0.14154995664390224</v>
      </c>
      <c r="K11" s="28">
        <f>SUM(H4:K4)/BS_good!V$49</f>
        <v>0.16295843902877477</v>
      </c>
      <c r="L11" s="28">
        <f>SUM(I4:L4)/BS_good!W$49</f>
        <v>0.19511322924233152</v>
      </c>
      <c r="M11" s="28">
        <f>SUM(J4:M4)/BS_good!X$49</f>
        <v>0.21520155272005106</v>
      </c>
      <c r="N11" s="28">
        <f>SUM(K4:N4)/BS_good!Y$49</f>
        <v>0.23837943069862125</v>
      </c>
    </row>
    <row r="12" spans="1:14" x14ac:dyDescent="0.25">
      <c r="A12" t="s">
        <v>400</v>
      </c>
      <c r="C12" s="28">
        <f>(C6/B6-1)*4</f>
        <v>0.10793131643499621</v>
      </c>
      <c r="D12" s="28">
        <f t="shared" ref="D12:N12" si="0">(D6/C6-1)*4</f>
        <v>0.22929936305732479</v>
      </c>
      <c r="E12" s="28">
        <f t="shared" si="0"/>
        <v>3.6463480905116086E-2</v>
      </c>
      <c r="F12" s="28">
        <f t="shared" si="0"/>
        <v>-4.6702799963800334E-2</v>
      </c>
      <c r="G12" s="28">
        <f t="shared" si="0"/>
        <v>8.5423584649584328E-2</v>
      </c>
      <c r="H12" s="28">
        <f t="shared" si="0"/>
        <v>0.3475102551630842</v>
      </c>
      <c r="I12" s="28">
        <f t="shared" si="0"/>
        <v>4.9568631628327253E-2</v>
      </c>
      <c r="J12" s="28">
        <f t="shared" si="0"/>
        <v>-7.734736116140617E-4</v>
      </c>
      <c r="K12" s="28">
        <f t="shared" si="0"/>
        <v>0.1648506253702875</v>
      </c>
      <c r="L12" s="28">
        <f t="shared" si="0"/>
        <v>0.47517921608058078</v>
      </c>
      <c r="M12" s="28">
        <f t="shared" si="0"/>
        <v>0.11941439468978921</v>
      </c>
      <c r="N12" s="28">
        <f t="shared" si="0"/>
        <v>7.669957659662785E-2</v>
      </c>
    </row>
    <row r="13" spans="1:14" x14ac:dyDescent="0.25">
      <c r="N13" s="339">
        <f t="array" ref="N13">GEOMEAN(1+E12:N12)-1</f>
        <v>0.12118916044361683</v>
      </c>
    </row>
    <row r="14" spans="1:14" ht="13.8" thickBot="1" x14ac:dyDescent="0.3"/>
    <row r="15" spans="1:14" x14ac:dyDescent="0.25">
      <c r="A15" s="365" t="s">
        <v>401</v>
      </c>
      <c r="B15" s="52" t="s">
        <v>173</v>
      </c>
      <c r="C15" s="73" t="s">
        <v>174</v>
      </c>
      <c r="D15" s="48" t="s">
        <v>175</v>
      </c>
      <c r="E15" s="88" t="s">
        <v>176</v>
      </c>
      <c r="F15" s="89" t="s">
        <v>177</v>
      </c>
      <c r="G15" s="90" t="s">
        <v>205</v>
      </c>
      <c r="H15" s="88" t="s">
        <v>206</v>
      </c>
      <c r="I15" s="88" t="s">
        <v>207</v>
      </c>
      <c r="J15" s="89" t="s">
        <v>208</v>
      </c>
      <c r="K15" s="90" t="s">
        <v>382</v>
      </c>
      <c r="L15" s="88" t="s">
        <v>383</v>
      </c>
      <c r="M15" s="88" t="s">
        <v>384</v>
      </c>
      <c r="N15" s="89" t="s">
        <v>385</v>
      </c>
    </row>
    <row r="16" spans="1:14" x14ac:dyDescent="0.25">
      <c r="A16" t="s">
        <v>14</v>
      </c>
      <c r="B16" s="316">
        <f>SUM(EBITDA_bad!Q$3,EBITDA_bad!Q$9,EBITDA_bad!Q$22,EBITDA_bad!Q$29,EBITDA_bad!Q$37,EBITDA_bad!Q$46)*1000</f>
        <v>398499.99999999994</v>
      </c>
      <c r="C16" s="316">
        <f>SUM(EBITDA_bad!R$3,EBITDA_bad!R$9,EBITDA_bad!R$22,EBITDA_bad!R$29,EBITDA_bad!R$37,EBITDA_bad!R$46)*1000</f>
        <v>544500</v>
      </c>
      <c r="D16" s="316">
        <f>SUM(EBITDA_bad!S$3,EBITDA_bad!S$9,EBITDA_bad!S$22,EBITDA_bad!S$29,EBITDA_bad!S$37,EBITDA_bad!S$46)*1000</f>
        <v>819100</v>
      </c>
      <c r="E16" s="316">
        <f>SUM(EBITDA_bad!T$3,EBITDA_bad!T$9,EBITDA_bad!T$22,EBITDA_bad!T$29,EBITDA_bad!T$37,EBITDA_bad!T$46)*1000</f>
        <v>513648.62756862305</v>
      </c>
      <c r="F16" s="316">
        <f>SUM(EBITDA_bad!U$3,EBITDA_bad!U$9,EBITDA_bad!U$22,EBITDA_bad!U$29,EBITDA_bad!U$37,EBITDA_bad!U$46)*1000</f>
        <v>501664.80036790244</v>
      </c>
      <c r="G16" s="316">
        <f>SUM(EBITDA_bad!V$3,EBITDA_bad!V$9,EBITDA_bad!V$22,EBITDA_bad!V$29,EBITDA_bad!V$37,EBITDA_bad!V$46)*1000</f>
        <v>475223.66576420725</v>
      </c>
      <c r="H16" s="316">
        <f>SUM(EBITDA_bad!W$3,EBITDA_bad!W$9,EBITDA_bad!W$22,EBITDA_bad!W$29,EBITDA_bad!W$37,EBITDA_bad!W$46)*1000</f>
        <v>849526.73465063283</v>
      </c>
      <c r="I16" s="316">
        <f>SUM(EBITDA_bad!X$3,EBITDA_bad!X$9,EBITDA_bad!X$22,EBITDA_bad!X$29,EBITDA_bad!X$37,EBITDA_bad!X$46)*1000</f>
        <v>553775.69116252742</v>
      </c>
      <c r="J16" s="316">
        <f>SUM(EBITDA_bad!Y$3,EBITDA_bad!Y$9,EBITDA_bad!Y$22,EBITDA_bad!Y$29,EBITDA_bad!Y$37,EBITDA_bad!Y$46)*1000</f>
        <v>552086.26807051711</v>
      </c>
      <c r="K16" s="316">
        <f>SUM(EBITDA_bad!Z$3,EBITDA_bad!Z$9,EBITDA_bad!Z$22,EBITDA_bad!Z$29,EBITDA_bad!Z$37,EBITDA_bad!Z$46)*1000</f>
        <v>546353.25296692795</v>
      </c>
      <c r="L16" s="316">
        <f>SUM(EBITDA_bad!AA$3,EBITDA_bad!AA$9,EBITDA_bad!AA$22,EBITDA_bad!AA$29,EBITDA_bad!AA$37,EBITDA_bad!AA$46)*1000</f>
        <v>907602.96639434295</v>
      </c>
      <c r="M16" s="316">
        <f>SUM(EBITDA_bad!AB$3,EBITDA_bad!AB$9,EBITDA_bad!AB$22,EBITDA_bad!AB$29,EBITDA_bad!AB$37,EBITDA_bad!AB$46)*1000</f>
        <v>622315.62705719075</v>
      </c>
      <c r="N16" s="316">
        <f>SUM(EBITDA_bad!AC$3,EBITDA_bad!AC$9,EBITDA_bad!AC$22,EBITDA_bad!AC$29,EBITDA_bad!AC$37,EBITDA_bad!AC$46)*1000</f>
        <v>581191.42682253849</v>
      </c>
    </row>
    <row r="17" spans="1:14" x14ac:dyDescent="0.25">
      <c r="A17" t="s">
        <v>17</v>
      </c>
      <c r="B17" s="316">
        <f>EBITDA_bad!Q$57*1000</f>
        <v>47300.000000000015</v>
      </c>
      <c r="C17" s="316">
        <f>EBITDA_bad!R$57*1000</f>
        <v>72400</v>
      </c>
      <c r="D17" s="316">
        <f>EBITDA_bad!S$57*1000</f>
        <v>130199.99999999999</v>
      </c>
      <c r="E17" s="360">
        <f>EBITDA_bad!T$57*1000</f>
        <v>51015.488030696972</v>
      </c>
      <c r="F17" s="360">
        <f>EBITDA_bad!U$57*1000</f>
        <v>44846.662868679188</v>
      </c>
      <c r="G17" s="360">
        <f>EBITDA_bad!V$57*1000</f>
        <v>59738.168242712374</v>
      </c>
      <c r="H17" s="360">
        <f>EBITDA_bad!W$57*1000</f>
        <v>133120.45457370914</v>
      </c>
      <c r="I17" s="360">
        <f>EBITDA_bad!X$57*1000</f>
        <v>44541.900571096521</v>
      </c>
      <c r="J17" s="360">
        <f>EBITDA_bad!Y$57*1000</f>
        <v>47583.726453005867</v>
      </c>
      <c r="K17" s="360">
        <f>EBITDA_bad!Z$57*1000</f>
        <v>13798.431266134752</v>
      </c>
      <c r="L17" s="360">
        <f>EBITDA_bad!AA$57*1000</f>
        <v>44710.876675243031</v>
      </c>
      <c r="M17" s="360">
        <f>EBITDA_bad!AB$57*1000</f>
        <v>12663.494109438067</v>
      </c>
      <c r="N17" s="360">
        <f>EBITDA_bad!AC$57*1000</f>
        <v>6241.2926657373937</v>
      </c>
    </row>
    <row r="18" spans="1:14" x14ac:dyDescent="0.25">
      <c r="A18" t="s">
        <v>394</v>
      </c>
      <c r="B18" s="316">
        <f>225150-232618</f>
        <v>-7468</v>
      </c>
      <c r="C18" s="316">
        <f>159502-D18</f>
        <v>64138</v>
      </c>
      <c r="D18" s="316">
        <v>95364</v>
      </c>
      <c r="E18" s="360">
        <f>CF_bad!T$58</f>
        <v>10279.499978345624</v>
      </c>
      <c r="F18" s="360">
        <f>CF_bad!U$58</f>
        <v>7088.8744658491687</v>
      </c>
      <c r="G18" s="360">
        <f>CF_bad!V$58</f>
        <v>18185.07029988127</v>
      </c>
      <c r="H18" s="360">
        <f>CF_bad!W$58</f>
        <v>83583.090225818814</v>
      </c>
      <c r="I18" s="360">
        <f>CF_bad!X$58</f>
        <v>2255.185590101044</v>
      </c>
      <c r="J18" s="360">
        <f>CF_bad!Y$58</f>
        <v>4915.5605335053579</v>
      </c>
      <c r="K18" s="360">
        <f>CF_bad!Z$58</f>
        <v>-29947.198661519564</v>
      </c>
      <c r="L18" s="360">
        <f>CF_bad!AA$58</f>
        <v>-558.399289284323</v>
      </c>
      <c r="M18" s="360">
        <f>CF_bad!AB$58</f>
        <v>-28043.577705347907</v>
      </c>
      <c r="N18" s="360">
        <f>CF_bad!AC$58</f>
        <v>-33978.764034794658</v>
      </c>
    </row>
    <row r="19" spans="1:14" x14ac:dyDescent="0.25">
      <c r="A19" t="s">
        <v>409</v>
      </c>
      <c r="B19" s="398">
        <f>B18/BS_good!Q$54*1000</f>
        <v>-9.1761549087311101E-2</v>
      </c>
      <c r="C19" s="398">
        <f>C18/BS_good!R$54*1000</f>
        <v>0.78318195332304918</v>
      </c>
      <c r="D19" s="398">
        <f>D18/BS_good!S$54*1000</f>
        <v>1.162807697488464</v>
      </c>
      <c r="E19" s="399">
        <f>E18/BS_good!T$54*1000</f>
        <v>0.12534165619261767</v>
      </c>
      <c r="F19" s="399">
        <f>F18/BS_good!U$54*1000</f>
        <v>8.6437206864423008E-2</v>
      </c>
      <c r="G19" s="399">
        <f>G18/BS_good!V$54*1000</f>
        <v>0.22173713061606887</v>
      </c>
      <c r="H19" s="399">
        <f>H18/BS_good!W$54*1000</f>
        <v>1.0191588093458213</v>
      </c>
      <c r="I19" s="399">
        <f>I18/BS_good!X$54*1000</f>
        <v>2.7498292473413004E-2</v>
      </c>
      <c r="J19" s="399">
        <f>J18/BS_good!Y$54*1000</f>
        <v>5.9937205086096755E-2</v>
      </c>
      <c r="K19" s="399">
        <f>K18/BS_good!Z$54*1000</f>
        <v>-0.36515701021172742</v>
      </c>
      <c r="L19" s="399">
        <f>L18/BS_good!AA$54*1000</f>
        <v>-6.8087642281353371E-3</v>
      </c>
      <c r="M19" s="399">
        <f>M18/BS_good!AB$54*1000</f>
        <v>-0.34194547230500422</v>
      </c>
      <c r="N19" s="399">
        <f>N18/BS_good!AC$54*1000</f>
        <v>-0.41431534300997652</v>
      </c>
    </row>
    <row r="20" spans="1:14" x14ac:dyDescent="0.25">
      <c r="A20" s="52" t="s">
        <v>313</v>
      </c>
      <c r="B20" s="395">
        <f>BS_bad!Q$55</f>
        <v>12.23</v>
      </c>
      <c r="C20" s="395">
        <f>BS_bad!R$55</f>
        <v>12.56</v>
      </c>
      <c r="D20" s="395">
        <f>BS_bad!S$55</f>
        <v>13.28</v>
      </c>
      <c r="E20" s="396">
        <f>BS_bad!T$55</f>
        <v>13.401058756604984</v>
      </c>
      <c r="F20" s="396">
        <f>BS_bad!U$55</f>
        <v>13.24459201500177</v>
      </c>
      <c r="G20" s="396">
        <f>BS_bad!V$55</f>
        <v>13.46632914561784</v>
      </c>
      <c r="H20" s="396">
        <f>BS_bad!W$55</f>
        <v>14.485487954963661</v>
      </c>
      <c r="I20" s="396">
        <f>BS_bad!X$55</f>
        <v>14.512986247437075</v>
      </c>
      <c r="J20" s="396">
        <f>BS_bad!Y$55</f>
        <v>14.330019504055537</v>
      </c>
      <c r="K20" s="396">
        <f>BS_bad!Z$55</f>
        <v>13.964862493843807</v>
      </c>
      <c r="L20" s="396">
        <f>BS_bad!AA$55</f>
        <v>13.958053729615674</v>
      </c>
      <c r="M20" s="396">
        <f>BS_bad!AB$55</f>
        <v>13.616108257310669</v>
      </c>
      <c r="N20" s="397">
        <f>BS_bad!AC$55</f>
        <v>12.958888965833058</v>
      </c>
    </row>
    <row r="21" spans="1:14" x14ac:dyDescent="0.25">
      <c r="A21" t="s">
        <v>395</v>
      </c>
      <c r="B21" s="29">
        <f>(BS_bad!Q$32+BS_bad!Q$38)/BS_bad!Q$47</f>
        <v>0.51470418323991363</v>
      </c>
      <c r="C21" s="29">
        <f>(BS_bad!R$32+BS_bad!R$38)/BS_bad!R$47</f>
        <v>0.60500043752613009</v>
      </c>
      <c r="D21" s="29">
        <f>(BS_bad!S$32+BS_bad!S$38)/BS_bad!S$47</f>
        <v>0.76102302974192804</v>
      </c>
      <c r="E21" s="364">
        <f>(BS_bad!T$32+BS_bad!T$38)/BS_bad!T$47</f>
        <v>0.65656259607166778</v>
      </c>
      <c r="F21" s="364">
        <f>(BS_bad!U$32+BS_bad!U$38)/BS_bad!U$47</f>
        <v>0.67089031024927492</v>
      </c>
      <c r="G21" s="364">
        <f>(BS_bad!V$32+BS_bad!V$38)/BS_bad!V$47</f>
        <v>0.756028197716474</v>
      </c>
      <c r="H21" s="364">
        <f>(BS_bad!W$32+BS_bad!W$38)/BS_bad!W$47</f>
        <v>0.61782603945618608</v>
      </c>
      <c r="I21" s="364">
        <f>(BS_bad!X$32+BS_bad!X$38)/BS_bad!X$47</f>
        <v>0.61908854075159558</v>
      </c>
      <c r="J21" s="364">
        <f>(BS_bad!Y$32+BS_bad!Y$38)/BS_bad!Y$47</f>
        <v>0.62517558207229162</v>
      </c>
      <c r="K21" s="364">
        <f>(BS_bad!Z$32+BS_bad!Z$38)/BS_bad!Z$47</f>
        <v>0.72628738699666229</v>
      </c>
      <c r="L21" s="364">
        <f>(BS_bad!AA$32+BS_bad!AA$38)/BS_bad!AA$47</f>
        <v>0.6407714941859235</v>
      </c>
      <c r="M21" s="364">
        <f>(BS_bad!AB$32+BS_bad!AB$38)/BS_bad!AB$47</f>
        <v>0.65757644240794866</v>
      </c>
      <c r="N21" s="364">
        <f>(BS_bad!AC$32+BS_bad!AC$38)/BS_bad!AC$47</f>
        <v>0.69082357161431607</v>
      </c>
    </row>
    <row r="22" spans="1:14" x14ac:dyDescent="0.25">
      <c r="A22" t="s">
        <v>396</v>
      </c>
      <c r="B22" s="316">
        <f>CF_bad!Q$29</f>
        <v>34162</v>
      </c>
      <c r="C22" s="316">
        <f>CF_bad!R$29</f>
        <v>-29734</v>
      </c>
      <c r="D22" s="316">
        <f>CF_bad!S$29</f>
        <v>-187885</v>
      </c>
      <c r="E22" s="360">
        <f>CF_bad!T$29</f>
        <v>460628.46742740186</v>
      </c>
      <c r="F22" s="360">
        <f>CF_bad!U$29</f>
        <v>147831.25849059812</v>
      </c>
      <c r="G22" s="360">
        <f>CF_bad!V$29</f>
        <v>-392028.02862991201</v>
      </c>
      <c r="H22" s="360">
        <f>CF_bad!W$29</f>
        <v>199891.80881184287</v>
      </c>
      <c r="I22" s="360">
        <f>CF_bad!X$29</f>
        <v>175135.92803823148</v>
      </c>
      <c r="J22" s="360">
        <f>CF_bad!Y$29</f>
        <v>143582.65272269241</v>
      </c>
      <c r="K22" s="360">
        <f>CF_bad!Z$29</f>
        <v>-386488.42756614852</v>
      </c>
      <c r="L22" s="360">
        <f>CF_bad!AA$29</f>
        <v>65609.964410104483</v>
      </c>
      <c r="M22" s="360">
        <f>CF_bad!AB$29</f>
        <v>170314.82752274504</v>
      </c>
      <c r="N22" s="360">
        <f>CF_bad!AC$29</f>
        <v>140620.69617800912</v>
      </c>
    </row>
    <row r="23" spans="1:14" x14ac:dyDescent="0.25">
      <c r="A23" t="s">
        <v>398</v>
      </c>
      <c r="B23" s="28">
        <f>B18/BS_bad!P$49*4</f>
        <v>-3.1310793586905479E-2</v>
      </c>
      <c r="C23" s="28">
        <f>C18/BS_bad!Q$49*4</f>
        <v>0.25730977729413124</v>
      </c>
      <c r="D23" s="28">
        <f>D18/BS_bad!R$49*4</f>
        <v>0.37027445209561655</v>
      </c>
      <c r="E23" s="28">
        <f>E18/BS_bad!S$49*4</f>
        <v>3.7654811582515393E-2</v>
      </c>
      <c r="F23" s="28">
        <f>F18/BS_bad!T$49*4</f>
        <v>2.5725070788249083E-2</v>
      </c>
      <c r="G23" s="28">
        <f>G18/BS_bad!U$49*4</f>
        <v>6.6769770123315517E-2</v>
      </c>
      <c r="H23" s="28">
        <f>H18/BS_bad!V$49*4</f>
        <v>0.30185176891424115</v>
      </c>
      <c r="I23" s="28">
        <f>I18/BS_bad!W$49*4</f>
        <v>7.5728985534021381E-3</v>
      </c>
      <c r="J23" s="28">
        <f>J18/BS_bad!X$49*4</f>
        <v>1.6475229012076396E-2</v>
      </c>
      <c r="K23" s="28">
        <f>K18/BS_bad!Y$49*4</f>
        <v>-0.10165054735447883</v>
      </c>
      <c r="L23" s="28">
        <f>L18/BS_bad!Z$49*4</f>
        <v>-1.9448118806629526E-3</v>
      </c>
      <c r="M23" s="28">
        <f>M18/BS_bad!AA$49*4</f>
        <v>-9.7718629486984385E-2</v>
      </c>
      <c r="N23" s="28">
        <f>N18/BS_bad!AB$49*4</f>
        <v>-0.12136485375572388</v>
      </c>
    </row>
    <row r="24" spans="1:14" x14ac:dyDescent="0.25">
      <c r="A24" t="s">
        <v>399</v>
      </c>
      <c r="E24" s="28">
        <f>SUM(B18:E18)/BS_bad!P$49</f>
        <v>0.17013137701493594</v>
      </c>
      <c r="F24" s="28">
        <f>SUM(C18:F18)/BS_bad!Q$49</f>
        <v>0.17739279622908943</v>
      </c>
      <c r="G24" s="28">
        <f>SUM(D18:G18)/BS_bad!R$49</f>
        <v>0.12707988633648681</v>
      </c>
      <c r="H24" s="28">
        <f>SUM(E18:H18)/BS_bad!S$49</f>
        <v>0.10910218849008481</v>
      </c>
      <c r="I24" s="28">
        <f>SUM(F18:I18)/BS_bad!T$49</f>
        <v>0.10080478056399395</v>
      </c>
      <c r="J24" s="28">
        <f>SUM(G18:J18)/BS_bad!U$49</f>
        <v>9.9997217972083011E-2</v>
      </c>
      <c r="K24" s="28">
        <f>SUM(H18:K18)/BS_bad!V$49</f>
        <v>5.4899235892788126E-2</v>
      </c>
      <c r="L24" s="28">
        <f>SUM(I18:L18)/BS_bad!W$49</f>
        <v>-1.958957019121866E-2</v>
      </c>
      <c r="M24" s="28">
        <f>SUM(J18:M18)/BS_bad!X$49</f>
        <v>-4.4940250754120878E-2</v>
      </c>
      <c r="N24" s="28">
        <f>SUM(K18:N18)/BS_bad!Y$49</f>
        <v>-7.8517491915299442E-2</v>
      </c>
    </row>
    <row r="25" spans="1:14" x14ac:dyDescent="0.25">
      <c r="A25" t="s">
        <v>400</v>
      </c>
      <c r="C25" s="28">
        <f>(C20/B20-1)*4</f>
        <v>0.10793131643499621</v>
      </c>
      <c r="D25" s="28">
        <f t="shared" ref="D25:N25" si="1">(D20/C20-1)*4</f>
        <v>0.22929936305732479</v>
      </c>
      <c r="E25" s="28">
        <f t="shared" si="1"/>
        <v>3.6463480905116086E-2</v>
      </c>
      <c r="F25" s="28">
        <f t="shared" si="1"/>
        <v>-4.6702799963800334E-2</v>
      </c>
      <c r="G25" s="28">
        <f t="shared" si="1"/>
        <v>6.6966843633964324E-2</v>
      </c>
      <c r="H25" s="28">
        <f t="shared" si="1"/>
        <v>0.30272802582654013</v>
      </c>
      <c r="I25" s="28">
        <f t="shared" si="1"/>
        <v>7.5933354979573764E-3</v>
      </c>
      <c r="J25" s="28">
        <f t="shared" si="1"/>
        <v>-5.04284205227159E-2</v>
      </c>
      <c r="K25" s="28">
        <f t="shared" si="1"/>
        <v>-0.10192784737198357</v>
      </c>
      <c r="L25" s="28">
        <f t="shared" si="1"/>
        <v>-1.9502560032034211E-3</v>
      </c>
      <c r="M25" s="28">
        <f t="shared" si="1"/>
        <v>-9.7992307216722363E-2</v>
      </c>
      <c r="N25" s="28">
        <f t="shared" si="1"/>
        <v>-0.1930711122613884</v>
      </c>
    </row>
    <row r="26" spans="1:14" x14ac:dyDescent="0.25">
      <c r="N26" s="339">
        <f t="array" ref="N26">GEOMEAN(1+E25:N25)-1</f>
        <v>-1.528423282167557E-2</v>
      </c>
    </row>
    <row r="27" spans="1:14" ht="13.8" thickBot="1" x14ac:dyDescent="0.3">
      <c r="N27" s="28"/>
    </row>
    <row r="28" spans="1:14" x14ac:dyDescent="0.25">
      <c r="A28" s="363" t="s">
        <v>407</v>
      </c>
      <c r="B28" s="52" t="s">
        <v>173</v>
      </c>
      <c r="C28" s="73" t="s">
        <v>174</v>
      </c>
      <c r="D28" s="48" t="s">
        <v>175</v>
      </c>
      <c r="E28" s="88" t="s">
        <v>176</v>
      </c>
      <c r="F28" s="89" t="s">
        <v>177</v>
      </c>
      <c r="G28" s="90" t="s">
        <v>205</v>
      </c>
      <c r="H28" s="88" t="s">
        <v>206</v>
      </c>
      <c r="I28" s="88" t="s">
        <v>207</v>
      </c>
      <c r="J28" s="89" t="s">
        <v>208</v>
      </c>
      <c r="K28" s="90" t="s">
        <v>382</v>
      </c>
      <c r="L28" s="88" t="s">
        <v>383</v>
      </c>
      <c r="M28" s="88" t="s">
        <v>384</v>
      </c>
      <c r="N28" s="89" t="s">
        <v>385</v>
      </c>
    </row>
    <row r="29" spans="1:14" x14ac:dyDescent="0.25">
      <c r="A29" t="s">
        <v>14</v>
      </c>
      <c r="B29" s="316">
        <f>SUM(EBITDA_good_ex!Q$3,EBITDA_good_ex!Q$9,EBITDA_good_ex!Q$22,EBITDA_good_ex!Q$29,EBITDA_good_ex!Q$37,EBITDA_good_ex!Q$46)*1000</f>
        <v>398499.99999999994</v>
      </c>
      <c r="C29" s="316">
        <f>SUM(EBITDA_good_ex!R$3,EBITDA_good_ex!R$9,EBITDA_good_ex!R$22,EBITDA_good_ex!R$29,EBITDA_good_ex!R$37,EBITDA_good_ex!R$46)*1000</f>
        <v>544500</v>
      </c>
      <c r="D29" s="316">
        <f>SUM(EBITDA_good_ex!S$3,EBITDA_good_ex!S$9,EBITDA_good_ex!S$22,EBITDA_good_ex!S$29,EBITDA_good_ex!S$37,EBITDA_good_ex!S$46)*1000</f>
        <v>819100</v>
      </c>
      <c r="E29" s="316">
        <f>SUM(EBITDA_good_ex!T$3,EBITDA_good_ex!T$9,EBITDA_good_ex!T$22,EBITDA_good_ex!T$29,EBITDA_good_ex!T$37,EBITDA_good_ex!T$46)*1000</f>
        <v>513648.62756862305</v>
      </c>
      <c r="F29" s="316">
        <f>SUM(EBITDA_good_ex!U$3,EBITDA_good_ex!U$9,EBITDA_good_ex!U$22,EBITDA_good_ex!U$29,EBITDA_good_ex!U$37,EBITDA_good_ex!U$46)*1000</f>
        <v>501664.80036790244</v>
      </c>
      <c r="G29" s="316">
        <f>SUM(EBITDA_good_ex!V$3,EBITDA_good_ex!V$9,EBITDA_good_ex!V$22,EBITDA_good_ex!V$29,EBITDA_good_ex!V$37,EBITDA_good_ex!V$46)*1000</f>
        <v>524578.1167831854</v>
      </c>
      <c r="H29" s="316">
        <f>SUM(EBITDA_good_ex!W$3,EBITDA_good_ex!W$9,EBITDA_good_ex!W$22,EBITDA_good_ex!W$29,EBITDA_good_ex!W$37,EBITDA_good_ex!W$46)*1000</f>
        <v>951045.02577074931</v>
      </c>
      <c r="I29" s="316">
        <f>SUM(EBITDA_good_ex!X$3,EBITDA_good_ex!X$9,EBITDA_good_ex!X$22,EBITDA_good_ex!X$29,EBITDA_good_ex!X$37,EBITDA_good_ex!X$46)*1000</f>
        <v>630663.85262769845</v>
      </c>
      <c r="J29" s="316">
        <f>SUM(EBITDA_good_ex!Y$3,EBITDA_good_ex!Y$9,EBITDA_good_ex!Y$22,EBITDA_good_ex!Y$29,EBITDA_good_ex!Y$37,EBITDA_good_ex!Y$46)*1000</f>
        <v>639974.70723149797</v>
      </c>
      <c r="K29" s="316">
        <f>SUM(EBITDA_good_ex!Z$3,EBITDA_good_ex!Z$9,EBITDA_good_ex!Z$22,EBITDA_good_ex!Z$29,EBITDA_good_ex!Z$37,EBITDA_good_ex!Z$46)*1000</f>
        <v>840798.4159497316</v>
      </c>
      <c r="L29" s="316">
        <f>SUM(EBITDA_good_ex!AA$3,EBITDA_good_ex!AA$9,EBITDA_good_ex!AA$22,EBITDA_good_ex!AA$29,EBITDA_good_ex!AA$37,EBITDA_good_ex!AA$46)*1000</f>
        <v>1429880.6949772676</v>
      </c>
      <c r="M29" s="316">
        <f>SUM(EBITDA_good_ex!AB$3,EBITDA_good_ex!AB$9,EBITDA_good_ex!AB$22,EBITDA_good_ex!AB$29,EBITDA_good_ex!AB$37,EBITDA_good_ex!AB$46)*1000</f>
        <v>929152.22040771821</v>
      </c>
      <c r="N29" s="316">
        <f>SUM(EBITDA_good_ex!AC$3,EBITDA_good_ex!AC$9,EBITDA_good_ex!AC$22,EBITDA_good_ex!AC$29,EBITDA_good_ex!AC$37,EBITDA_good_ex!AC$46)*1000</f>
        <v>894388.58836209902</v>
      </c>
    </row>
    <row r="30" spans="1:14" x14ac:dyDescent="0.25">
      <c r="A30" t="s">
        <v>17</v>
      </c>
      <c r="B30" s="316">
        <f>EBITDA_good_ex!Q$57*1000</f>
        <v>47300.000000000015</v>
      </c>
      <c r="C30" s="316">
        <f>EBITDA_good_ex!R$57*1000</f>
        <v>72400</v>
      </c>
      <c r="D30" s="316">
        <f>EBITDA_good_ex!S$57*1000</f>
        <v>130199.99999999999</v>
      </c>
      <c r="E30" s="360">
        <f>EBITDA_good_ex!T$57*1000</f>
        <v>51015.488030696972</v>
      </c>
      <c r="F30" s="360">
        <f>EBITDA_good_ex!U$57*1000</f>
        <v>44846.662868679188</v>
      </c>
      <c r="G30" s="360">
        <f>EBITDA_good_ex!V$57*1000</f>
        <v>67878.485048958755</v>
      </c>
      <c r="H30" s="360">
        <f>EBITDA_good_ex!W$57*1000</f>
        <v>149493.11369583887</v>
      </c>
      <c r="I30" s="360">
        <f>EBITDA_good_ex!X$57*1000</f>
        <v>57953.312319590506</v>
      </c>
      <c r="J30" s="360">
        <f>EBITDA_good_ex!Y$57*1000</f>
        <v>63196.187082483862</v>
      </c>
      <c r="K30" s="360">
        <f>EBITDA_good_ex!Z$57*1000</f>
        <v>119625.98323349404</v>
      </c>
      <c r="L30" s="360">
        <f>EBITDA_good_ex!AA$57*1000</f>
        <v>238470.69264074598</v>
      </c>
      <c r="M30" s="360">
        <f>EBITDA_good_ex!AB$57*1000</f>
        <v>96369.186908886084</v>
      </c>
      <c r="N30" s="360">
        <f>EBITDA_good_ex!AC$57*1000</f>
        <v>101000.85052010733</v>
      </c>
    </row>
    <row r="31" spans="1:14" x14ac:dyDescent="0.25">
      <c r="A31" t="s">
        <v>394</v>
      </c>
      <c r="B31" s="316">
        <f>225150-232618</f>
        <v>-7468</v>
      </c>
      <c r="C31" s="316">
        <f>159502-D31</f>
        <v>64138</v>
      </c>
      <c r="D31" s="316">
        <v>95364</v>
      </c>
      <c r="E31" s="360">
        <f>CF_good_ex!T$58</f>
        <v>10279.499978345624</v>
      </c>
      <c r="F31" s="360">
        <f>CF_good_ex!U$58</f>
        <v>7088.8744658491687</v>
      </c>
      <c r="G31" s="360">
        <f>CF_good_ex!V$58</f>
        <v>23197.060034835889</v>
      </c>
      <c r="H31" s="360">
        <f>CF_good_ex!W$58</f>
        <v>92349.750845967385</v>
      </c>
      <c r="I31" s="360">
        <f>CF_good_ex!X$58</f>
        <v>8248.6311585446529</v>
      </c>
      <c r="J31" s="360">
        <f>CF_good_ex!Y$58</f>
        <v>17074.210007741542</v>
      </c>
      <c r="K31" s="360">
        <f>CF_good_ex!Z$58</f>
        <v>54160.128742353474</v>
      </c>
      <c r="L31" s="360">
        <f>CF_good_ex!AA$58</f>
        <v>160059.00845254291</v>
      </c>
      <c r="M31" s="360">
        <f>CF_good_ex!AB$58</f>
        <v>41953.512217039519</v>
      </c>
      <c r="N31" s="360">
        <f>CF_good_ex!AC$58</f>
        <v>53243.406274369503</v>
      </c>
    </row>
    <row r="32" spans="1:14" x14ac:dyDescent="0.25">
      <c r="A32" t="s">
        <v>409</v>
      </c>
      <c r="B32" s="398">
        <f>B31/BS_good!Q$54*1000</f>
        <v>-9.1761549087311101E-2</v>
      </c>
      <c r="C32" s="398">
        <f>C31/BS_good!R$54*1000</f>
        <v>0.78318195332304918</v>
      </c>
      <c r="D32" s="398">
        <f>D31/BS_good!S$54*1000</f>
        <v>1.162807697488464</v>
      </c>
      <c r="E32" s="399">
        <f>E31/BS_good!T$54*1000</f>
        <v>0.12534165619261767</v>
      </c>
      <c r="F32" s="399">
        <f>F31/BS_good!U$54*1000</f>
        <v>8.6437206864423008E-2</v>
      </c>
      <c r="G32" s="399">
        <f>G31/BS_good!V$54*1000</f>
        <v>0.28285013178567581</v>
      </c>
      <c r="H32" s="399">
        <f>H31/BS_good!W$54*1000</f>
        <v>1.1260538688061812</v>
      </c>
      <c r="I32" s="399">
        <f>I31/BS_good!X$54*1000</f>
        <v>0.1005785391227183</v>
      </c>
      <c r="J32" s="399">
        <f>J31/BS_good!Y$54*1000</f>
        <v>0.20819200983113575</v>
      </c>
      <c r="K32" s="399">
        <f>K31/BS_good!Z$54*1000</f>
        <v>0.66039401240064199</v>
      </c>
      <c r="L32" s="399">
        <f>L31/BS_good!AA$54*1000</f>
        <v>1.9516573033952855</v>
      </c>
      <c r="M32" s="399">
        <f>M31/BS_good!AB$54*1000</f>
        <v>0.51155432807610701</v>
      </c>
      <c r="N32" s="399">
        <f>N31/BS_good!AC$54*1000</f>
        <v>0.64921608422824584</v>
      </c>
    </row>
    <row r="33" spans="1:14" x14ac:dyDescent="0.25">
      <c r="A33" s="52" t="s">
        <v>313</v>
      </c>
      <c r="B33" s="395">
        <f>BS_good_ex!Q$55</f>
        <v>12.23</v>
      </c>
      <c r="C33" s="395">
        <f>BS_good_ex!R$55</f>
        <v>12.56</v>
      </c>
      <c r="D33" s="395">
        <f>BS_good_ex!S$55</f>
        <v>13.28</v>
      </c>
      <c r="E33" s="396">
        <f>BS_good_ex!T$55</f>
        <v>13.401058756604984</v>
      </c>
      <c r="F33" s="396">
        <f>BS_good_ex!U$55</f>
        <v>13.24459201500177</v>
      </c>
      <c r="G33" s="396">
        <f>BS_good_ex!V$55</f>
        <v>13.527442146787447</v>
      </c>
      <c r="H33" s="396">
        <f>BS_good_ex!W$55</f>
        <v>14.653496015593626</v>
      </c>
      <c r="I33" s="396">
        <f>BS_good_ex!X$55</f>
        <v>14.754074554716347</v>
      </c>
      <c r="J33" s="396">
        <f>BS_good_ex!Y$55</f>
        <v>14.719362616079847</v>
      </c>
      <c r="K33" s="396">
        <f>BS_good_ex!Z$55</f>
        <v>15.379756628480488</v>
      </c>
      <c r="L33" s="396">
        <f>BS_good_ex!AA$55</f>
        <v>17.331413931875773</v>
      </c>
      <c r="M33" s="396">
        <f>BS_good_ex!AB$55</f>
        <v>17.842968259951885</v>
      </c>
      <c r="N33" s="397">
        <f>BS_good_ex!AC$55</f>
        <v>18.249280395712489</v>
      </c>
    </row>
    <row r="34" spans="1:14" x14ac:dyDescent="0.25">
      <c r="A34" t="s">
        <v>395</v>
      </c>
      <c r="B34" s="29">
        <f>(BS_good_ex!Q$32+BS_good_ex!Q$38)/BS_good_ex!Q$47</f>
        <v>0.51470418323991363</v>
      </c>
      <c r="C34" s="29">
        <f>(BS_good_ex!R$32+BS_good_ex!R$38)/BS_good_ex!R$47</f>
        <v>0.60500043752613009</v>
      </c>
      <c r="D34" s="29">
        <f>(BS_good_ex!S$32+BS_good_ex!S$38)/BS_good_ex!S$47</f>
        <v>0.76102302974192804</v>
      </c>
      <c r="E34" s="364">
        <f>(BS_good_ex!T$32+BS_good_ex!T$38)/BS_good_ex!T$47</f>
        <v>0.65656259607166778</v>
      </c>
      <c r="F34" s="364">
        <f>(BS_good_ex!U$32+BS_good_ex!U$38)/BS_good_ex!U$47</f>
        <v>0.67089031024927492</v>
      </c>
      <c r="G34" s="364">
        <f>(BS_good_ex!V$32+BS_good_ex!V$38)/BS_good_ex!V$47</f>
        <v>0.84275065087141343</v>
      </c>
      <c r="H34" s="364">
        <f>(BS_good_ex!W$32+BS_good_ex!W$38)/BS_good_ex!W$47</f>
        <v>0.73555933828717701</v>
      </c>
      <c r="I34" s="364">
        <f>(BS_good_ex!X$32+BS_good_ex!X$38)/BS_good_ex!X$47</f>
        <v>0.60897235164110441</v>
      </c>
      <c r="J34" s="364">
        <f>(BS_good_ex!Y$32+BS_good_ex!Y$38)/BS_good_ex!Y$47</f>
        <v>0.60863900959735784</v>
      </c>
      <c r="K34" s="364">
        <f>(BS_good_ex!Z$32+BS_good_ex!Z$38)/BS_good_ex!Z$47</f>
        <v>1.0558804331409688</v>
      </c>
      <c r="L34" s="364">
        <f>(BS_good_ex!AA$32+BS_good_ex!AA$38)/BS_good_ex!AA$47</f>
        <v>0.69193796255871298</v>
      </c>
      <c r="M34" s="364">
        <f>(BS_good_ex!AB$32+BS_good_ex!AB$38)/BS_good_ex!AB$47</f>
        <v>0.50180171240791016</v>
      </c>
      <c r="N34" s="364">
        <f>(BS_good_ex!AC$32+BS_good_ex!AC$38)/BS_good_ex!AC$47</f>
        <v>0.4905566556823473</v>
      </c>
    </row>
    <row r="35" spans="1:14" x14ac:dyDescent="0.25">
      <c r="A35" t="s">
        <v>396</v>
      </c>
      <c r="B35" s="316">
        <f>CF_good_ex!Q$29</f>
        <v>34162</v>
      </c>
      <c r="C35" s="316">
        <f>CF_good_ex!R$29</f>
        <v>-29734</v>
      </c>
      <c r="D35" s="316">
        <f>CF_good_ex!S$29</f>
        <v>-187885</v>
      </c>
      <c r="E35" s="360">
        <f>CF_good_ex!T$29</f>
        <v>460628.46742740186</v>
      </c>
      <c r="F35" s="360">
        <f>CF_good_ex!U$29</f>
        <v>123979.5283868441</v>
      </c>
      <c r="G35" s="360">
        <f>CF_good_ex!V$29</f>
        <v>-424324.17995096196</v>
      </c>
      <c r="H35" s="360">
        <f>CF_good_ex!W$29</f>
        <v>205928.38251400349</v>
      </c>
      <c r="I35" s="360">
        <f>CF_good_ex!X$29</f>
        <v>187410.60363671408</v>
      </c>
      <c r="J35" s="360">
        <f>CF_good_ex!Y$29</f>
        <v>101728.01664124326</v>
      </c>
      <c r="K35" s="360">
        <f>CF_good_ex!Z$29</f>
        <v>-610285.69262801926</v>
      </c>
      <c r="L35" s="360">
        <f>CF_good_ex!AA$29</f>
        <v>348029.15462402941</v>
      </c>
      <c r="M35" s="360">
        <f>CF_good_ex!AB$29</f>
        <v>360261.8176100048</v>
      </c>
      <c r="N35" s="360">
        <f>CF_good_ex!AC$29</f>
        <v>304526.99444430915</v>
      </c>
    </row>
    <row r="36" spans="1:14" x14ac:dyDescent="0.25">
      <c r="A36" t="s">
        <v>404</v>
      </c>
      <c r="B36" s="28">
        <f>(CF_good_ex!Q$2+CF_good_ex!Q$5)/B29</f>
        <v>1.0138017565872022E-2</v>
      </c>
      <c r="C36" s="28">
        <f>(CF_good_ex!R$2+CF_good_ex!R$5)/C29</f>
        <v>0.14313131313131314</v>
      </c>
      <c r="D36" s="28">
        <f>(CF_good_ex!S$2+CF_good_ex!S$5)/D29</f>
        <v>0.14157001587107801</v>
      </c>
      <c r="E36" s="391">
        <f>(CF_good_ex!T$2+CF_good_ex!T$5)/E29</f>
        <v>7.2887302761643652E-2</v>
      </c>
      <c r="F36" s="391">
        <f>(CF_good_ex!U$2+CF_good_ex!U$5)/F29</f>
        <v>6.3580940030150815E-2</v>
      </c>
      <c r="G36" s="391">
        <f>(CF_good_ex!V$2+CF_good_ex!V$5)/G29</f>
        <v>0.10409976885635612</v>
      </c>
      <c r="H36" s="391">
        <f>(CF_good_ex!W$2+CF_good_ex!W$5)/H29</f>
        <v>0.13876514647728982</v>
      </c>
      <c r="I36" s="391">
        <f>(CF_good_ex!X$2+CF_good_ex!X$5)/I29</f>
        <v>5.927979459911658E-2</v>
      </c>
      <c r="J36" s="391">
        <f>(CF_good_ex!Y$2+CF_good_ex!Y$5)/J29</f>
        <v>6.6333313005518618E-2</v>
      </c>
      <c r="K36" s="391">
        <f>(CF_good_ex!Z$2+CF_good_ex!Z$5)/K29</f>
        <v>0.11739781742989774</v>
      </c>
      <c r="L36" s="391">
        <f>(CF_good_ex!AA$2+CF_good_ex!AA$5)/L29</f>
        <v>0.15229055345935641</v>
      </c>
      <c r="M36" s="391">
        <f>(CF_good_ex!AB$2+CF_good_ex!AB$5)/M29</f>
        <v>8.1640758868821134E-2</v>
      </c>
      <c r="N36" s="391">
        <f>(CF_good_ex!AC$2+CF_good_ex!AC$5)/N29</f>
        <v>9.0212986069240636E-2</v>
      </c>
    </row>
    <row r="37" spans="1:14" x14ac:dyDescent="0.25">
      <c r="A37" t="s">
        <v>398</v>
      </c>
      <c r="B37" s="28">
        <f>B31/BS_good_ex!P$49*4</f>
        <v>-3.1310793586905479E-2</v>
      </c>
      <c r="C37" s="28">
        <f>C31/BS_good_ex!Q$49*4</f>
        <v>0.25730977729413124</v>
      </c>
      <c r="D37" s="28">
        <f>D31/BS_good_ex!R$49*4</f>
        <v>0.37027445209561655</v>
      </c>
      <c r="E37" s="28">
        <f>E31/BS_good_ex!S$49*4</f>
        <v>3.7654811582515393E-2</v>
      </c>
      <c r="F37" s="28">
        <f>F31/BS_good_ex!T$49*4</f>
        <v>2.5725070788249083E-2</v>
      </c>
      <c r="G37" s="28">
        <f>G31/BS_good_ex!U$49*4</f>
        <v>8.5172195681468124E-2</v>
      </c>
      <c r="H37" s="28">
        <f>H31/BS_good_ex!V$49*4</f>
        <v>0.33200929982383026</v>
      </c>
      <c r="I37" s="28">
        <f>I31/BS_good_ex!W$49*4</f>
        <v>2.73821166402935E-2</v>
      </c>
      <c r="J37" s="28">
        <f>J31/BS_good_ex!X$49*4</f>
        <v>5.6294103157198468E-2</v>
      </c>
      <c r="K37" s="28">
        <f>K31/BS_good_ex!Y$49*4</f>
        <v>0.17898730818049569</v>
      </c>
      <c r="L37" s="28">
        <f>L31/BS_good_ex!Z$49*4</f>
        <v>0.50630429315500669</v>
      </c>
      <c r="M37" s="28">
        <f>M31/BS_good_ex!AA$49*4</f>
        <v>0.11779837215009856</v>
      </c>
      <c r="N37" s="28">
        <f>N31/BS_good_ex!AB$49*4</f>
        <v>0.14522176479442736</v>
      </c>
    </row>
    <row r="38" spans="1:14" x14ac:dyDescent="0.25">
      <c r="A38" t="s">
        <v>399</v>
      </c>
      <c r="E38" s="28">
        <f>SUM(B31:E31)/BS_good_ex!P$49</f>
        <v>0.17013137701493594</v>
      </c>
      <c r="F38" s="28">
        <f>SUM(C31:F31)/BS_good_ex!Q$49</f>
        <v>0.17739279622908943</v>
      </c>
      <c r="G38" s="28">
        <f>SUM(D31:G31)/BS_good_ex!R$49</f>
        <v>0.13194496056003865</v>
      </c>
      <c r="H38" s="28">
        <f>SUM(E31:H31)/BS_good_ex!S$49</f>
        <v>0.12172032371251099</v>
      </c>
      <c r="I38" s="28">
        <f>SUM(F31:I31)/BS_good_ex!T$49</f>
        <v>0.11874269756745025</v>
      </c>
      <c r="J38" s="28">
        <f>SUM(G31:J31)/BS_good_ex!U$49</f>
        <v>0.12930709270611149</v>
      </c>
      <c r="K38" s="28">
        <f>SUM(H31:K31)/BS_good_ex!V$49</f>
        <v>0.15444021446174813</v>
      </c>
      <c r="L38" s="28">
        <f>SUM(I31:L31)/BS_good_ex!W$49</f>
        <v>0.19879560213266431</v>
      </c>
      <c r="M38" s="28">
        <f>SUM(J31:M31)/BS_good_ex!X$49</f>
        <v>0.22522545530038376</v>
      </c>
      <c r="N38" s="28">
        <f>SUM(K31:N31)/BS_good_ex!Y$49</f>
        <v>0.25563799515033986</v>
      </c>
    </row>
    <row r="39" spans="1:14" x14ac:dyDescent="0.25">
      <c r="A39" t="s">
        <v>400</v>
      </c>
      <c r="C39" s="28">
        <f>(C33/B33-1)*4</f>
        <v>0.10793131643499621</v>
      </c>
      <c r="D39" s="28">
        <f t="shared" ref="D39:N39" si="2">(D33/C33-1)*4</f>
        <v>0.22929936305732479</v>
      </c>
      <c r="E39" s="28">
        <f t="shared" si="2"/>
        <v>3.6463480905116086E-2</v>
      </c>
      <c r="F39" s="28">
        <f t="shared" si="2"/>
        <v>-4.6702799963800334E-2</v>
      </c>
      <c r="G39" s="28">
        <f t="shared" si="2"/>
        <v>8.5423584649584328E-2</v>
      </c>
      <c r="H39" s="28">
        <f t="shared" si="2"/>
        <v>0.33296874799752096</v>
      </c>
      <c r="I39" s="28">
        <f t="shared" si="2"/>
        <v>2.7455165379152824E-2</v>
      </c>
      <c r="J39" s="28">
        <f t="shared" si="2"/>
        <v>-9.410807437028712E-3</v>
      </c>
      <c r="K39" s="28">
        <f t="shared" si="2"/>
        <v>0.17946266550406431</v>
      </c>
      <c r="L39" s="28">
        <f t="shared" si="2"/>
        <v>0.50759120590534579</v>
      </c>
      <c r="M39" s="28">
        <f t="shared" si="2"/>
        <v>0.11806407257639062</v>
      </c>
      <c r="N39" s="28">
        <f t="shared" si="2"/>
        <v>9.1086220597626166E-2</v>
      </c>
    </row>
    <row r="40" spans="1:14" x14ac:dyDescent="0.25">
      <c r="N40" s="339">
        <f t="array" ref="N40">GEOMEAN(1+E39:N39)-1</f>
        <v>0.12179927908102695</v>
      </c>
    </row>
    <row r="41" spans="1:14" ht="13.8" thickBot="1" x14ac:dyDescent="0.3"/>
    <row r="42" spans="1:14" x14ac:dyDescent="0.25">
      <c r="A42" s="365" t="s">
        <v>408</v>
      </c>
      <c r="B42" s="52" t="s">
        <v>173</v>
      </c>
      <c r="C42" s="73" t="s">
        <v>174</v>
      </c>
      <c r="D42" s="48" t="s">
        <v>175</v>
      </c>
      <c r="E42" s="88" t="s">
        <v>176</v>
      </c>
      <c r="F42" s="89" t="s">
        <v>177</v>
      </c>
      <c r="G42" s="90" t="s">
        <v>205</v>
      </c>
      <c r="H42" s="88" t="s">
        <v>206</v>
      </c>
      <c r="I42" s="88" t="s">
        <v>207</v>
      </c>
      <c r="J42" s="89" t="s">
        <v>208</v>
      </c>
      <c r="K42" s="90" t="s">
        <v>382</v>
      </c>
      <c r="L42" s="88" t="s">
        <v>383</v>
      </c>
      <c r="M42" s="88" t="s">
        <v>384</v>
      </c>
      <c r="N42" s="89" t="s">
        <v>385</v>
      </c>
    </row>
    <row r="43" spans="1:14" x14ac:dyDescent="0.25">
      <c r="A43" t="s">
        <v>14</v>
      </c>
      <c r="B43" s="316">
        <f>SUM(EBITDA_bad_ex!Q$3,EBITDA_bad_ex!Q$9,EBITDA_bad_ex!Q$22,EBITDA_bad_ex!Q$29,EBITDA_bad_ex!Q$37,EBITDA_bad_ex!Q$46)*1000</f>
        <v>398499.99999999994</v>
      </c>
      <c r="C43" s="316">
        <f>SUM(EBITDA_bad_ex!R$3,EBITDA_bad_ex!R$9,EBITDA_bad_ex!R$22,EBITDA_bad_ex!R$29,EBITDA_bad_ex!R$37,EBITDA_bad_ex!R$46)*1000</f>
        <v>544500</v>
      </c>
      <c r="D43" s="316">
        <f>SUM(EBITDA_bad_ex!S$3,EBITDA_bad_ex!S$9,EBITDA_bad_ex!S$22,EBITDA_bad_ex!S$29,EBITDA_bad_ex!S$37,EBITDA_bad_ex!S$46)*1000</f>
        <v>819100</v>
      </c>
      <c r="E43" s="316">
        <f>SUM(EBITDA_bad_ex!T$3,EBITDA_bad_ex!T$9,EBITDA_bad_ex!T$22,EBITDA_bad_ex!T$29,EBITDA_bad_ex!T$37,EBITDA_bad_ex!T$46)*1000</f>
        <v>513648.62756862305</v>
      </c>
      <c r="F43" s="316">
        <f>SUM(EBITDA_bad_ex!U$3,EBITDA_bad_ex!U$9,EBITDA_bad_ex!U$22,EBITDA_bad_ex!U$29,EBITDA_bad_ex!U$37,EBITDA_bad_ex!U$46)*1000</f>
        <v>501664.80036790244</v>
      </c>
      <c r="G43" s="316">
        <f>SUM(EBITDA_bad_ex!V$3,EBITDA_bad_ex!V$9,EBITDA_bad_ex!V$22,EBITDA_bad_ex!V$29,EBITDA_bad_ex!V$37,EBITDA_bad_ex!V$46)*1000</f>
        <v>475223.66576420725</v>
      </c>
      <c r="H43" s="316">
        <f>SUM(EBITDA_bad_ex!W$3,EBITDA_bad_ex!W$9,EBITDA_bad_ex!W$22,EBITDA_bad_ex!W$29,EBITDA_bad_ex!W$37,EBITDA_bad_ex!W$46)*1000</f>
        <v>849526.73465063283</v>
      </c>
      <c r="I43" s="316">
        <f>SUM(EBITDA_bad_ex!X$3,EBITDA_bad_ex!X$9,EBITDA_bad_ex!X$22,EBITDA_bad_ex!X$29,EBITDA_bad_ex!X$37,EBITDA_bad_ex!X$46)*1000</f>
        <v>553775.69116252742</v>
      </c>
      <c r="J43" s="316">
        <f>SUM(EBITDA_bad_ex!Y$3,EBITDA_bad_ex!Y$9,EBITDA_bad_ex!Y$22,EBITDA_bad_ex!Y$29,EBITDA_bad_ex!Y$37,EBITDA_bad_ex!Y$46)*1000</f>
        <v>552086.26807051711</v>
      </c>
      <c r="K43" s="316">
        <f>SUM(EBITDA_bad_ex!Z$3,EBITDA_bad_ex!Z$9,EBITDA_bad_ex!Z$22,EBITDA_bad_ex!Z$29,EBITDA_bad_ex!Z$37,EBITDA_bad_ex!Z$46)*1000</f>
        <v>556946.68906672753</v>
      </c>
      <c r="L43" s="316">
        <f>SUM(EBITDA_bad_ex!AA$3,EBITDA_bad_ex!AA$9,EBITDA_bad_ex!AA$22,EBITDA_bad_ex!AA$29,EBITDA_bad_ex!AA$37,EBITDA_bad_ex!AA$46)*1000</f>
        <v>927538.07844478393</v>
      </c>
      <c r="M43" s="316">
        <f>SUM(EBITDA_bad_ex!AB$3,EBITDA_bad_ex!AB$9,EBITDA_bad_ex!AB$22,EBITDA_bad_ex!AB$29,EBITDA_bad_ex!AB$37,EBITDA_bad_ex!AB$46)*1000</f>
        <v>628403.66509445559</v>
      </c>
      <c r="N43" s="316">
        <f>SUM(EBITDA_bad_ex!AC$3,EBITDA_bad_ex!AC$9,EBITDA_bad_ex!AC$22,EBITDA_bad_ex!AC$29,EBITDA_bad_ex!AC$37,EBITDA_bad_ex!AC$46)*1000</f>
        <v>588959.66488286317</v>
      </c>
    </row>
    <row r="44" spans="1:14" x14ac:dyDescent="0.25">
      <c r="A44" t="s">
        <v>17</v>
      </c>
      <c r="B44" s="316">
        <f>EBITDA_bad_ex!Q$57*1000</f>
        <v>47300.000000000015</v>
      </c>
      <c r="C44" s="316">
        <f>EBITDA_bad_ex!R$57*1000</f>
        <v>72400</v>
      </c>
      <c r="D44" s="316">
        <f>EBITDA_bad_ex!S$57*1000</f>
        <v>130199.99999999999</v>
      </c>
      <c r="E44" s="360">
        <f>EBITDA_bad_ex!T$57*1000</f>
        <v>51015.488030696972</v>
      </c>
      <c r="F44" s="360">
        <f>EBITDA_bad_ex!U$57*1000</f>
        <v>44846.662868679188</v>
      </c>
      <c r="G44" s="360">
        <f>EBITDA_bad_ex!V$57*1000</f>
        <v>59738.168242712374</v>
      </c>
      <c r="H44" s="360">
        <f>EBITDA_bad_ex!W$57*1000</f>
        <v>133120.45457370914</v>
      </c>
      <c r="I44" s="360">
        <f>EBITDA_bad_ex!X$57*1000</f>
        <v>44541.900571096521</v>
      </c>
      <c r="J44" s="360">
        <f>EBITDA_bad_ex!Y$57*1000</f>
        <v>47583.726453005867</v>
      </c>
      <c r="K44" s="360">
        <f>EBITDA_bad_ex!Z$57*1000</f>
        <v>13798.431266134752</v>
      </c>
      <c r="L44" s="360">
        <f>EBITDA_bad_ex!AA$57*1000</f>
        <v>44710.876675243031</v>
      </c>
      <c r="M44" s="360">
        <f>EBITDA_bad_ex!AB$57*1000</f>
        <v>12663.494109438067</v>
      </c>
      <c r="N44" s="360">
        <f>EBITDA_bad_ex!AC$57*1000</f>
        <v>6241.2926657373937</v>
      </c>
    </row>
    <row r="45" spans="1:14" x14ac:dyDescent="0.25">
      <c r="A45" t="s">
        <v>394</v>
      </c>
      <c r="B45" s="316">
        <f>225150-232618</f>
        <v>-7468</v>
      </c>
      <c r="C45" s="316">
        <f>159502-D45</f>
        <v>64138</v>
      </c>
      <c r="D45" s="316">
        <v>95364</v>
      </c>
      <c r="E45" s="360">
        <f>CF_bad_ex!T$58</f>
        <v>10279.499978345624</v>
      </c>
      <c r="F45" s="360">
        <f>CF_bad_ex!U$58</f>
        <v>7088.8744658491687</v>
      </c>
      <c r="G45" s="360">
        <f>CF_bad_ex!V$58</f>
        <v>18185.07029988127</v>
      </c>
      <c r="H45" s="360">
        <f>CF_bad_ex!W$58</f>
        <v>80894.340262064346</v>
      </c>
      <c r="I45" s="360">
        <f>CF_bad_ex!X$58</f>
        <v>-3094.189373653423</v>
      </c>
      <c r="J45" s="360">
        <f>CF_bad_ex!Y$58</f>
        <v>2304.8222522553574</v>
      </c>
      <c r="K45" s="360">
        <f>CF_bad_ex!Z$58</f>
        <v>-36542.110545627816</v>
      </c>
      <c r="L45" s="360">
        <f>CF_bad_ex!AA$58</f>
        <v>-9794.0276320505982</v>
      </c>
      <c r="M45" s="360">
        <f>CF_bad_ex!AB$58</f>
        <v>-33198.948225606611</v>
      </c>
      <c r="N45" s="360">
        <f>CF_bad_ex!AC$58</f>
        <v>-36399.13545586446</v>
      </c>
    </row>
    <row r="46" spans="1:14" x14ac:dyDescent="0.25">
      <c r="A46" t="s">
        <v>409</v>
      </c>
      <c r="B46" s="398">
        <f>B45/BS_good!Q$54*1000</f>
        <v>-9.1761549087311101E-2</v>
      </c>
      <c r="C46" s="398">
        <f>C45/BS_good!R$54*1000</f>
        <v>0.78318195332304918</v>
      </c>
      <c r="D46" s="398">
        <f>D45/BS_good!S$54*1000</f>
        <v>1.162807697488464</v>
      </c>
      <c r="E46" s="399">
        <f>E45/BS_good!T$54*1000</f>
        <v>0.12534165619261767</v>
      </c>
      <c r="F46" s="399">
        <f>F45/BS_good!U$54*1000</f>
        <v>8.6437206864423008E-2</v>
      </c>
      <c r="G46" s="399">
        <f>G45/BS_good!V$54*1000</f>
        <v>0.22173713061606887</v>
      </c>
      <c r="H46" s="399">
        <f>H45/BS_good!W$54*1000</f>
        <v>0.98637390986094742</v>
      </c>
      <c r="I46" s="399">
        <f>I45/BS_good!X$54*1000</f>
        <v>-3.7728568654536401E-2</v>
      </c>
      <c r="J46" s="399">
        <f>J45/BS_good!Y$54*1000</f>
        <v>2.8103530223828988E-2</v>
      </c>
      <c r="K46" s="399">
        <f>K45/BS_good!Z$54*1000</f>
        <v>-0.44557115289763849</v>
      </c>
      <c r="L46" s="399">
        <f>L45/BS_good!AA$54*1000</f>
        <v>-0.11942211652157153</v>
      </c>
      <c r="M46" s="399">
        <f>M45/BS_good!AB$54*1000</f>
        <v>-0.40480676717898106</v>
      </c>
      <c r="N46" s="399">
        <f>N45/BS_good!AC$54*1000</f>
        <v>-0.44382780598553395</v>
      </c>
    </row>
    <row r="47" spans="1:14" x14ac:dyDescent="0.25">
      <c r="A47" s="52" t="s">
        <v>313</v>
      </c>
      <c r="B47" s="395">
        <f>BS_bad_ex!Q$55</f>
        <v>12.23</v>
      </c>
      <c r="C47" s="395">
        <f>BS_bad_ex!R$55</f>
        <v>12.56</v>
      </c>
      <c r="D47" s="395">
        <f>BS_bad_ex!S$55</f>
        <v>13.28</v>
      </c>
      <c r="E47" s="396">
        <f>BS_bad_ex!T$55</f>
        <v>13.401058756604984</v>
      </c>
      <c r="F47" s="396">
        <f>BS_bad_ex!U$55</f>
        <v>13.24459201500177</v>
      </c>
      <c r="G47" s="396">
        <f>BS_bad_ex!V$55</f>
        <v>13.46632914561784</v>
      </c>
      <c r="H47" s="396">
        <f>BS_bad_ex!W$55</f>
        <v>14.452703055478789</v>
      </c>
      <c r="I47" s="396">
        <f>BS_bad_ex!X$55</f>
        <v>14.414974486824253</v>
      </c>
      <c r="J47" s="396">
        <f>BS_bad_ex!Y$55</f>
        <v>14.200174068580447</v>
      </c>
      <c r="K47" s="396">
        <f>BS_bad_ex!Z$55</f>
        <v>13.754602915682808</v>
      </c>
      <c r="L47" s="396">
        <f>BS_bad_ex!AA$55</f>
        <v>13.635180799161235</v>
      </c>
      <c r="M47" s="396">
        <f>BS_bad_ex!AB$55</f>
        <v>13.230374031982253</v>
      </c>
      <c r="N47" s="397">
        <f>BS_bad_ex!AC$55</f>
        <v>12.543642277529083</v>
      </c>
    </row>
    <row r="48" spans="1:14" x14ac:dyDescent="0.25">
      <c r="A48" t="s">
        <v>395</v>
      </c>
      <c r="B48" s="29">
        <f>(BS_bad_ex!Q$32+BS_bad_ex!Q$38)/BS_bad_ex!Q$47</f>
        <v>0.51470418323991363</v>
      </c>
      <c r="C48" s="29">
        <f>(BS_bad_ex!R$32+BS_bad_ex!R$38)/BS_bad_ex!R$47</f>
        <v>0.60500043752613009</v>
      </c>
      <c r="D48" s="29">
        <f>(BS_bad_ex!S$32+BS_bad_ex!S$38)/BS_bad_ex!S$47</f>
        <v>0.76102302974192804</v>
      </c>
      <c r="E48" s="364">
        <f>(BS_bad_ex!T$32+BS_bad_ex!T$38)/BS_bad_ex!T$47</f>
        <v>0.65656259607166778</v>
      </c>
      <c r="F48" s="364">
        <f>(BS_bad_ex!U$32+BS_bad_ex!U$38)/BS_bad_ex!U$47</f>
        <v>0.67089031024927492</v>
      </c>
      <c r="G48" s="364">
        <f>(BS_bad_ex!V$32+BS_bad_ex!V$38)/BS_bad_ex!V$47</f>
        <v>0.756028197716474</v>
      </c>
      <c r="H48" s="364">
        <f>(BS_bad_ex!W$32+BS_bad_ex!W$38)/BS_bad_ex!W$47</f>
        <v>0.7035948731377879</v>
      </c>
      <c r="I48" s="364">
        <f>(BS_bad_ex!X$32+BS_bad_ex!X$38)/BS_bad_ex!X$47</f>
        <v>0.62329791052257566</v>
      </c>
      <c r="J48" s="364">
        <f>(BS_bad_ex!Y$32+BS_bad_ex!Y$38)/BS_bad_ex!Y$47</f>
        <v>0.63089214549683315</v>
      </c>
      <c r="K48" s="364">
        <f>(BS_bad_ex!Z$32+BS_bad_ex!Z$38)/BS_bad_ex!Z$47</f>
        <v>0.87036374251052429</v>
      </c>
      <c r="L48" s="364">
        <f>(BS_bad_ex!AA$32+BS_bad_ex!AA$38)/BS_bad_ex!AA$47</f>
        <v>0.74537031917396057</v>
      </c>
      <c r="M48" s="364">
        <f>(BS_bad_ex!AB$32+BS_bad_ex!AB$38)/BS_bad_ex!AB$47</f>
        <v>0.67674821631194326</v>
      </c>
      <c r="N48" s="364">
        <f>(BS_bad_ex!AC$32+BS_bad_ex!AC$38)/BS_bad_ex!AC$47</f>
        <v>0.71369270276205765</v>
      </c>
    </row>
    <row r="49" spans="1:14" x14ac:dyDescent="0.25">
      <c r="A49" t="s">
        <v>396</v>
      </c>
      <c r="B49" s="316">
        <f>CF_bad_ex!Q$29</f>
        <v>34162</v>
      </c>
      <c r="C49" s="316">
        <f>CF_bad_ex!R$29</f>
        <v>-29734</v>
      </c>
      <c r="D49" s="316">
        <f>CF_bad_ex!S$29</f>
        <v>-187885</v>
      </c>
      <c r="E49" s="360">
        <f>CF_bad_ex!T$29</f>
        <v>460628.46742740186</v>
      </c>
      <c r="F49" s="360">
        <f>CF_bad_ex!U$29</f>
        <v>147831.25849059812</v>
      </c>
      <c r="G49" s="360">
        <f>CF_bad_ex!V$29</f>
        <v>-392028.02862991201</v>
      </c>
      <c r="H49" s="360">
        <f>CF_bad_ex!W$29</f>
        <v>197203.05884808843</v>
      </c>
      <c r="I49" s="360">
        <f>CF_bad_ex!X$29</f>
        <v>172599.05307447701</v>
      </c>
      <c r="J49" s="360">
        <f>CF_bad_ex!Y$29</f>
        <v>143731.68006644241</v>
      </c>
      <c r="K49" s="360">
        <f>CF_bad_ex!Z$29</f>
        <v>-390375.31943072553</v>
      </c>
      <c r="L49" s="360">
        <f>CF_bad_ex!AA$29</f>
        <v>59031.580711503244</v>
      </c>
      <c r="M49" s="360">
        <f>CF_bad_ex!AB$29</f>
        <v>167766.87830957325</v>
      </c>
      <c r="N49" s="360">
        <f>CF_bad_ex!AC$29</f>
        <v>140758.85691451837</v>
      </c>
    </row>
    <row r="50" spans="1:14" x14ac:dyDescent="0.25">
      <c r="A50" t="s">
        <v>398</v>
      </c>
      <c r="B50" s="28">
        <f>B45/BS_bad_ex!P$49*4</f>
        <v>-3.1310793586905479E-2</v>
      </c>
      <c r="C50" s="28">
        <f>C45/BS_bad_ex!Q$49*4</f>
        <v>0.25730977729413124</v>
      </c>
      <c r="D50" s="28">
        <f>D45/BS_bad_ex!R$49*4</f>
        <v>0.37027445209561655</v>
      </c>
      <c r="E50" s="28">
        <f>E45/BS_bad_ex!S$49*4</f>
        <v>3.7654811582515393E-2</v>
      </c>
      <c r="F50" s="28">
        <f>F45/BS_bad_ex!T$49*4</f>
        <v>2.5725070788249083E-2</v>
      </c>
      <c r="G50" s="28">
        <f>G45/BS_bad_ex!U$49*4</f>
        <v>6.6769770123315517E-2</v>
      </c>
      <c r="H50" s="28">
        <f>H45/BS_bad_ex!V$49*4</f>
        <v>0.29214162382945602</v>
      </c>
      <c r="I50" s="28">
        <f>I45/BS_bad_ex!W$49*4</f>
        <v>-1.041377378820774E-2</v>
      </c>
      <c r="J50" s="28">
        <f>J45/BS_bad_ex!X$49*4</f>
        <v>7.7773353022158346E-3</v>
      </c>
      <c r="K50" s="28">
        <f>K45/BS_bad_ex!Y$49*4</f>
        <v>-0.1251668880628834</v>
      </c>
      <c r="L50" s="28">
        <f>L45/BS_bad_ex!Z$49*4</f>
        <v>-3.4630928979871162E-2</v>
      </c>
      <c r="M50" s="28">
        <f>M45/BS_bad_ex!AA$49*4</f>
        <v>-0.1184141272039807</v>
      </c>
      <c r="N50" s="28">
        <f>N45/BS_bad_ex!AB$49*4</f>
        <v>-0.13378919927151045</v>
      </c>
    </row>
    <row r="51" spans="1:14" x14ac:dyDescent="0.25">
      <c r="A51" t="s">
        <v>399</v>
      </c>
      <c r="E51" s="28">
        <f>SUM(B45:E45)/BS_bad_ex!P$49</f>
        <v>0.17013137701493594</v>
      </c>
      <c r="F51" s="28">
        <f>SUM(C45:F45)/BS_bad_ex!Q$49</f>
        <v>0.17739279622908943</v>
      </c>
      <c r="G51" s="28">
        <f>SUM(D45:G45)/BS_bad_ex!R$49</f>
        <v>0.12707988633648681</v>
      </c>
      <c r="H51" s="28">
        <f>SUM(E45:H45)/BS_bad_ex!S$49</f>
        <v>0.10663990011295199</v>
      </c>
      <c r="I51" s="28">
        <f>SUM(F45:I45)/BS_bad_ex!T$49</f>
        <v>9.3512320605747698E-2</v>
      </c>
      <c r="J51" s="28">
        <f>SUM(G45:J45)/BS_bad_ex!U$49</f>
        <v>9.022241181518699E-2</v>
      </c>
      <c r="K51" s="28">
        <f>SUM(H45:K45)/BS_bad_ex!V$49</f>
        <v>3.9330704026837061E-2</v>
      </c>
      <c r="L51" s="28">
        <f>SUM(I45:L45)/BS_bad_ex!W$49</f>
        <v>-3.9651286053971863E-2</v>
      </c>
      <c r="M51" s="28">
        <f>SUM(J45:M45)/BS_bad_ex!X$49</f>
        <v>-6.5150974136237855E-2</v>
      </c>
      <c r="N51" s="28">
        <f>SUM(K45:N45)/BS_bad_ex!Y$49</f>
        <v>-9.9276735480169714E-2</v>
      </c>
    </row>
    <row r="52" spans="1:14" x14ac:dyDescent="0.25">
      <c r="A52" t="s">
        <v>400</v>
      </c>
      <c r="C52" s="28">
        <f>(C47/B47-1)*4</f>
        <v>0.10793131643499621</v>
      </c>
      <c r="D52" s="28">
        <f t="shared" ref="D52:N52" si="3">(D47/C47-1)*4</f>
        <v>0.22929936305732479</v>
      </c>
      <c r="E52" s="28">
        <f t="shared" si="3"/>
        <v>3.6463480905116086E-2</v>
      </c>
      <c r="F52" s="28">
        <f t="shared" si="3"/>
        <v>-4.6702799963800334E-2</v>
      </c>
      <c r="G52" s="28">
        <f t="shared" si="3"/>
        <v>6.6966843633964324E-2</v>
      </c>
      <c r="H52" s="28">
        <f t="shared" si="3"/>
        <v>0.29298969279447107</v>
      </c>
      <c r="I52" s="28">
        <f t="shared" si="3"/>
        <v>-1.044194113992658E-2</v>
      </c>
      <c r="J52" s="28">
        <f t="shared" si="3"/>
        <v>-5.9604800116750845E-2</v>
      </c>
      <c r="K52" s="28">
        <f t="shared" si="3"/>
        <v>-0.1255114622527107</v>
      </c>
      <c r="L52" s="28">
        <f t="shared" si="3"/>
        <v>-3.4729353440050126E-2</v>
      </c>
      <c r="M52" s="28">
        <f t="shared" si="3"/>
        <v>-0.11875361922707572</v>
      </c>
      <c r="N52" s="28">
        <f t="shared" si="3"/>
        <v>-0.20762277855277844</v>
      </c>
    </row>
    <row r="53" spans="1:14" ht="13.8" thickBot="1" x14ac:dyDescent="0.3">
      <c r="N53" s="339">
        <f t="array" ref="N53">GEOMEAN(1+E52:N52)-1</f>
        <v>-2.8660043010636627E-2</v>
      </c>
    </row>
    <row r="54" spans="1:14" x14ac:dyDescent="0.25">
      <c r="B54" s="52" t="s">
        <v>173</v>
      </c>
      <c r="C54" s="73" t="s">
        <v>174</v>
      </c>
      <c r="D54" s="48" t="s">
        <v>175</v>
      </c>
      <c r="E54" s="88" t="s">
        <v>176</v>
      </c>
      <c r="F54" s="89" t="s">
        <v>177</v>
      </c>
      <c r="G54" s="90" t="s">
        <v>205</v>
      </c>
      <c r="H54" s="88" t="s">
        <v>206</v>
      </c>
      <c r="I54" s="88" t="s">
        <v>207</v>
      </c>
      <c r="J54" s="89" t="s">
        <v>208</v>
      </c>
      <c r="K54" s="90" t="s">
        <v>382</v>
      </c>
      <c r="L54" s="88" t="s">
        <v>383</v>
      </c>
      <c r="M54" s="88" t="s">
        <v>384</v>
      </c>
      <c r="N54" s="89" t="s">
        <v>385</v>
      </c>
    </row>
    <row r="55" spans="1:14" x14ac:dyDescent="0.25">
      <c r="A55" s="363" t="s">
        <v>397</v>
      </c>
      <c r="B55" s="398">
        <f>B5</f>
        <v>-9.1761549087311101E-2</v>
      </c>
      <c r="C55" s="398">
        <f t="shared" ref="C55:N55" si="4">C5</f>
        <v>0.78318195332304918</v>
      </c>
      <c r="D55" s="398">
        <f t="shared" si="4"/>
        <v>1.162807697488464</v>
      </c>
      <c r="E55" s="398">
        <f t="shared" si="4"/>
        <v>0.12534165619261767</v>
      </c>
      <c r="F55" s="398">
        <f t="shared" si="4"/>
        <v>8.6437206864423008E-2</v>
      </c>
      <c r="G55" s="398">
        <f t="shared" si="4"/>
        <v>0.28285013178567581</v>
      </c>
      <c r="H55" s="398">
        <f t="shared" si="4"/>
        <v>1.1752312180334921</v>
      </c>
      <c r="I55" s="398">
        <f t="shared" si="4"/>
        <v>0.1821978499931047</v>
      </c>
      <c r="J55" s="398">
        <f t="shared" si="4"/>
        <v>0.24002568469340349</v>
      </c>
      <c r="K55" s="398">
        <f t="shared" si="4"/>
        <v>0.61332646118378153</v>
      </c>
      <c r="L55" s="398">
        <f t="shared" si="4"/>
        <v>1.8407634328046512</v>
      </c>
      <c r="M55" s="398">
        <f t="shared" si="4"/>
        <v>0.51754445980777442</v>
      </c>
      <c r="N55" s="398">
        <f t="shared" si="4"/>
        <v>0.58524536221636558</v>
      </c>
    </row>
    <row r="56" spans="1:14" x14ac:dyDescent="0.25">
      <c r="A56" s="365" t="s">
        <v>401</v>
      </c>
      <c r="B56" s="398"/>
      <c r="C56" s="398"/>
      <c r="D56" s="398"/>
      <c r="E56" s="398">
        <f t="shared" ref="C56:N56" si="5">E19</f>
        <v>0.12534165619261767</v>
      </c>
      <c r="F56" s="398">
        <f t="shared" si="5"/>
        <v>8.6437206864423008E-2</v>
      </c>
      <c r="G56" s="398">
        <f t="shared" si="5"/>
        <v>0.22173713061606887</v>
      </c>
      <c r="H56" s="398">
        <f t="shared" si="5"/>
        <v>1.0191588093458213</v>
      </c>
      <c r="I56" s="398">
        <f t="shared" si="5"/>
        <v>2.7498292473413004E-2</v>
      </c>
      <c r="J56" s="398">
        <f t="shared" si="5"/>
        <v>5.9937205086096755E-2</v>
      </c>
      <c r="K56" s="398">
        <f t="shared" si="5"/>
        <v>-0.36515701021172742</v>
      </c>
      <c r="L56" s="398">
        <f t="shared" si="5"/>
        <v>-6.8087642281353371E-3</v>
      </c>
      <c r="M56" s="398">
        <f t="shared" si="5"/>
        <v>-0.34194547230500422</v>
      </c>
      <c r="N56" s="398">
        <f t="shared" si="5"/>
        <v>-0.41431534300997652</v>
      </c>
    </row>
    <row r="57" spans="1:14" x14ac:dyDescent="0.25">
      <c r="A57" s="363" t="s">
        <v>407</v>
      </c>
      <c r="B57" s="398"/>
      <c r="C57" s="398"/>
      <c r="D57" s="398"/>
      <c r="E57" s="398">
        <f t="shared" ref="C57:N57" si="6">E32</f>
        <v>0.12534165619261767</v>
      </c>
      <c r="F57" s="398">
        <f t="shared" si="6"/>
        <v>8.6437206864423008E-2</v>
      </c>
      <c r="G57" s="398">
        <f t="shared" si="6"/>
        <v>0.28285013178567581</v>
      </c>
      <c r="H57" s="398">
        <f t="shared" si="6"/>
        <v>1.1260538688061812</v>
      </c>
      <c r="I57" s="398">
        <f t="shared" si="6"/>
        <v>0.1005785391227183</v>
      </c>
      <c r="J57" s="398">
        <f t="shared" si="6"/>
        <v>0.20819200983113575</v>
      </c>
      <c r="K57" s="398">
        <f t="shared" si="6"/>
        <v>0.66039401240064199</v>
      </c>
      <c r="L57" s="398">
        <f t="shared" si="6"/>
        <v>1.9516573033952855</v>
      </c>
      <c r="M57" s="398">
        <f t="shared" si="6"/>
        <v>0.51155432807610701</v>
      </c>
      <c r="N57" s="398">
        <f t="shared" si="6"/>
        <v>0.64921608422824584</v>
      </c>
    </row>
    <row r="58" spans="1:14" x14ac:dyDescent="0.25">
      <c r="A58" s="365" t="s">
        <v>408</v>
      </c>
      <c r="B58" s="398"/>
      <c r="C58" s="398"/>
      <c r="D58" s="398"/>
      <c r="E58" s="398">
        <f t="shared" ref="C58:N58" si="7">E46</f>
        <v>0.12534165619261767</v>
      </c>
      <c r="F58" s="398">
        <f t="shared" si="7"/>
        <v>8.6437206864423008E-2</v>
      </c>
      <c r="G58" s="398">
        <f t="shared" si="7"/>
        <v>0.22173713061606887</v>
      </c>
      <c r="H58" s="398">
        <f t="shared" si="7"/>
        <v>0.98637390986094742</v>
      </c>
      <c r="I58" s="398">
        <f t="shared" si="7"/>
        <v>-3.7728568654536401E-2</v>
      </c>
      <c r="J58" s="398">
        <f t="shared" si="7"/>
        <v>2.8103530223828988E-2</v>
      </c>
      <c r="K58" s="398">
        <f t="shared" si="7"/>
        <v>-0.44557115289763849</v>
      </c>
      <c r="L58" s="398">
        <f t="shared" si="7"/>
        <v>-0.11942211652157153</v>
      </c>
      <c r="M58" s="398">
        <f t="shared" si="7"/>
        <v>-0.40480676717898106</v>
      </c>
      <c r="N58" s="398">
        <f t="shared" si="7"/>
        <v>-0.44382780598553395</v>
      </c>
    </row>
    <row r="64" spans="1:14" ht="13.8" thickBot="1" x14ac:dyDescent="0.3"/>
    <row r="65" spans="1:5" ht="13.8" thickBot="1" x14ac:dyDescent="0.3">
      <c r="A65" s="420"/>
      <c r="B65" s="421" t="s">
        <v>397</v>
      </c>
      <c r="C65" s="422" t="s">
        <v>401</v>
      </c>
      <c r="D65" s="421" t="s">
        <v>407</v>
      </c>
      <c r="E65" s="423" t="s">
        <v>408</v>
      </c>
    </row>
    <row r="66" spans="1:5" x14ac:dyDescent="0.25">
      <c r="A66" s="409" t="s">
        <v>410</v>
      </c>
      <c r="B66" s="410">
        <f>SUM(C3:F3)/1000</f>
        <v>298.46215089937618</v>
      </c>
      <c r="C66" s="410">
        <f>SUM(C17:F17)/1000</f>
        <v>298.46215089937618</v>
      </c>
      <c r="D66" s="410">
        <f>SUM(C30:F30)/1000</f>
        <v>298.46215089937618</v>
      </c>
      <c r="E66" s="411">
        <f>SUM(C44:F44)/1000</f>
        <v>298.46215089937618</v>
      </c>
    </row>
    <row r="67" spans="1:5" x14ac:dyDescent="0.25">
      <c r="A67" s="409" t="s">
        <v>411</v>
      </c>
      <c r="B67" s="410">
        <f>SUM(G3:J3)/1000</f>
        <v>338.52109814687196</v>
      </c>
      <c r="C67" s="410">
        <f>SUM(G17:J17)/1000</f>
        <v>284.98424984052389</v>
      </c>
      <c r="D67" s="410">
        <f>SUM(G30:J30)/1000</f>
        <v>338.52109814687196</v>
      </c>
      <c r="E67" s="411">
        <f>SUM(G44:J44)/1000</f>
        <v>284.98424984052389</v>
      </c>
    </row>
    <row r="68" spans="1:5" ht="13.8" thickBot="1" x14ac:dyDescent="0.3">
      <c r="A68" s="409" t="s">
        <v>412</v>
      </c>
      <c r="B68" s="410">
        <f>SUM(K3:N3)/1000</f>
        <v>509.16139185237228</v>
      </c>
      <c r="C68" s="410">
        <f>SUM(K18:N18)/1000</f>
        <v>-92.527939690946454</v>
      </c>
      <c r="D68" s="410">
        <f>SUM(K30:N30)/1000</f>
        <v>555.4667133032334</v>
      </c>
      <c r="E68" s="411">
        <f>SUM(K44:N44)/1000</f>
        <v>77.414094716553237</v>
      </c>
    </row>
    <row r="69" spans="1:5" x14ac:dyDescent="0.25">
      <c r="A69" s="408" t="s">
        <v>413</v>
      </c>
      <c r="B69" s="424">
        <f>SUM(C5:F5)</f>
        <v>2.1577685138685538</v>
      </c>
      <c r="C69" s="424">
        <f>SUM(C19:F19)</f>
        <v>2.1577685138685538</v>
      </c>
      <c r="D69" s="424">
        <f>SUM(C32:F32)</f>
        <v>2.1577685138685538</v>
      </c>
      <c r="E69" s="425">
        <f>SUM(C46:F46)</f>
        <v>2.1577685138685538</v>
      </c>
    </row>
    <row r="70" spans="1:5" x14ac:dyDescent="0.25">
      <c r="A70" s="409" t="s">
        <v>414</v>
      </c>
      <c r="B70" s="412">
        <f>SUM(G5:J5)</f>
        <v>1.880304884505676</v>
      </c>
      <c r="C70" s="412">
        <f>SUM(G19:J19)</f>
        <v>1.3283314375213999</v>
      </c>
      <c r="D70" s="412">
        <f>SUM(G32:J32)</f>
        <v>1.7176745495457111</v>
      </c>
      <c r="E70" s="413">
        <f>SUM(G46:J46)</f>
        <v>1.1984860020463091</v>
      </c>
    </row>
    <row r="71" spans="1:5" ht="13.8" thickBot="1" x14ac:dyDescent="0.3">
      <c r="A71" s="416" t="s">
        <v>414</v>
      </c>
      <c r="B71" s="418">
        <f>SUM(K5:N5)</f>
        <v>3.5568797160125731</v>
      </c>
      <c r="C71" s="418">
        <f>SUM(K19:N19)</f>
        <v>-1.1282265897548434</v>
      </c>
      <c r="D71" s="418">
        <f>SUM(K32:N32)</f>
        <v>3.77282172810028</v>
      </c>
      <c r="E71" s="426">
        <f>SUM(K46:N46)</f>
        <v>-1.413627842583725</v>
      </c>
    </row>
    <row r="72" spans="1:5" x14ac:dyDescent="0.25">
      <c r="A72" s="409" t="s">
        <v>415</v>
      </c>
      <c r="B72" s="414">
        <f>F11</f>
        <v>0.17739279622908943</v>
      </c>
      <c r="C72" s="414">
        <f>F24</f>
        <v>0.17739279622908943</v>
      </c>
      <c r="D72" s="414">
        <f>F38</f>
        <v>0.17739279622908943</v>
      </c>
      <c r="E72" s="415">
        <f>F51</f>
        <v>0.17739279622908943</v>
      </c>
    </row>
    <row r="73" spans="1:5" x14ac:dyDescent="0.25">
      <c r="A73" s="409" t="s">
        <v>416</v>
      </c>
      <c r="B73" s="414">
        <f>J11</f>
        <v>0.14154995664390224</v>
      </c>
      <c r="C73" s="414">
        <f>J24</f>
        <v>9.9997217972083011E-2</v>
      </c>
      <c r="D73" s="414">
        <f>J38</f>
        <v>0.12930709270611149</v>
      </c>
      <c r="E73" s="415">
        <f>J51</f>
        <v>9.022241181518699E-2</v>
      </c>
    </row>
    <row r="74" spans="1:5" ht="13.8" thickBot="1" x14ac:dyDescent="0.3">
      <c r="A74" s="409" t="s">
        <v>417</v>
      </c>
      <c r="B74" s="414">
        <f>N11</f>
        <v>0.23837943069862125</v>
      </c>
      <c r="C74" s="414">
        <f>N24</f>
        <v>-7.8517491915299442E-2</v>
      </c>
      <c r="D74" s="414">
        <f>N38</f>
        <v>0.25563799515033986</v>
      </c>
      <c r="E74" s="415">
        <f>N51</f>
        <v>-9.9276735480169714E-2</v>
      </c>
    </row>
    <row r="75" spans="1:5" x14ac:dyDescent="0.25">
      <c r="A75" s="408" t="s">
        <v>418</v>
      </c>
      <c r="B75" s="427">
        <f>N6</f>
        <v>18.195968718584748</v>
      </c>
      <c r="C75" s="427">
        <f>N20</f>
        <v>12.958888965833058</v>
      </c>
      <c r="D75" s="427">
        <f>N33</f>
        <v>18.249280395712489</v>
      </c>
      <c r="E75" s="428">
        <f>N47</f>
        <v>12.543642277529083</v>
      </c>
    </row>
    <row r="76" spans="1:5" x14ac:dyDescent="0.25">
      <c r="A76" s="409" t="s">
        <v>419</v>
      </c>
      <c r="B76" s="414">
        <f>$N$13</f>
        <v>0.12118916044361683</v>
      </c>
      <c r="C76" s="414">
        <f>$N$26</f>
        <v>-1.528423282167557E-2</v>
      </c>
      <c r="D76" s="414">
        <f>$N$40</f>
        <v>0.12179927908102695</v>
      </c>
      <c r="E76" s="415">
        <f>$N$53</f>
        <v>-2.8660043010636627E-2</v>
      </c>
    </row>
    <row r="77" spans="1:5" ht="13.8" thickBot="1" x14ac:dyDescent="0.3">
      <c r="A77" s="416" t="s">
        <v>420</v>
      </c>
      <c r="B77" s="417">
        <f>MAX(C7:N7)</f>
        <v>0.92996985264445364</v>
      </c>
      <c r="C77" s="418">
        <f>MAX(C19:N19)</f>
        <v>1.162807697488464</v>
      </c>
      <c r="D77" s="417">
        <f>MAX(C34:N34)</f>
        <v>1.0558804331409688</v>
      </c>
      <c r="E77" s="419">
        <f>MAX(C48:N48)</f>
        <v>0.87036374251052429</v>
      </c>
    </row>
    <row r="80" spans="1:5" x14ac:dyDescent="0.25">
      <c r="A80" s="30" t="s">
        <v>421</v>
      </c>
      <c r="B80" t="s">
        <v>422</v>
      </c>
      <c r="C80" t="s">
        <v>423</v>
      </c>
      <c r="D80" t="s">
        <v>424</v>
      </c>
      <c r="E80" t="s">
        <v>425</v>
      </c>
    </row>
    <row r="81" spans="1:5" x14ac:dyDescent="0.25">
      <c r="A81" t="s">
        <v>14</v>
      </c>
      <c r="B81" s="429">
        <f>E2/1000</f>
        <v>513.64862756862306</v>
      </c>
      <c r="C81">
        <v>615</v>
      </c>
      <c r="D81" s="429">
        <f>C81-B81</f>
        <v>101.35137243137694</v>
      </c>
      <c r="E81" s="28">
        <f>C81/B81-1</f>
        <v>0.19731654479664007</v>
      </c>
    </row>
    <row r="82" spans="1:5" x14ac:dyDescent="0.25">
      <c r="A82" t="s">
        <v>17</v>
      </c>
      <c r="B82" s="429">
        <f>E3/1000</f>
        <v>51.015488030696972</v>
      </c>
      <c r="C82">
        <v>80.8</v>
      </c>
      <c r="D82" s="429">
        <f t="shared" ref="D82:D85" si="8">C82-B82</f>
        <v>29.784511969303026</v>
      </c>
      <c r="E82" s="28">
        <f t="shared" ref="E82:E85" si="9">C82/B82-1</f>
        <v>0.5838327362737592</v>
      </c>
    </row>
    <row r="83" spans="1:5" x14ac:dyDescent="0.25">
      <c r="A83" t="s">
        <v>394</v>
      </c>
      <c r="B83" s="429">
        <f>E4/1000</f>
        <v>10.279499978345624</v>
      </c>
      <c r="C83">
        <v>32.9</v>
      </c>
      <c r="D83" s="429">
        <f t="shared" si="8"/>
        <v>22.620500021654372</v>
      </c>
      <c r="E83" s="28">
        <f t="shared" si="9"/>
        <v>2.2005447803206186</v>
      </c>
    </row>
    <row r="84" spans="1:5" x14ac:dyDescent="0.25">
      <c r="A84" t="s">
        <v>409</v>
      </c>
      <c r="B84" s="398">
        <f>E5</f>
        <v>0.12534165619261767</v>
      </c>
      <c r="C84">
        <v>0.4</v>
      </c>
      <c r="D84" s="429">
        <f t="shared" si="8"/>
        <v>0.27465834380738235</v>
      </c>
      <c r="E84" s="28">
        <f t="shared" si="9"/>
        <v>2.1912774423955561</v>
      </c>
    </row>
    <row r="85" spans="1:5" x14ac:dyDescent="0.25">
      <c r="A85" t="s">
        <v>313</v>
      </c>
      <c r="B85" s="19">
        <f>E6</f>
        <v>13.401058756604984</v>
      </c>
      <c r="C85">
        <v>13.65</v>
      </c>
      <c r="D85" s="429">
        <f t="shared" si="8"/>
        <v>0.24894124339501644</v>
      </c>
      <c r="E85" s="28">
        <f t="shared" si="9"/>
        <v>1.8576236991149742E-2</v>
      </c>
    </row>
    <row r="86" spans="1:5" x14ac:dyDescent="0.25">
      <c r="A86" t="s">
        <v>395</v>
      </c>
      <c r="B86" s="29">
        <f>E7</f>
        <v>0.65656259607166778</v>
      </c>
      <c r="C86" s="29">
        <f>(222.31+562.138)/1133.05</f>
        <v>0.69233308327081777</v>
      </c>
      <c r="D86" s="429">
        <f t="shared" ref="D86" si="10">C86-B86</f>
        <v>3.5770487199149992E-2</v>
      </c>
      <c r="E86" s="28">
        <f t="shared" ref="E86" si="11">C86/B86-1</f>
        <v>5.4481457538353872E-2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70"/>
  <sheetViews>
    <sheetView zoomScaleNormal="100" workbookViewId="0">
      <pane xSplit="1" ySplit="1" topLeftCell="L22" activePane="bottomRight" state="frozen"/>
      <selection activeCell="AA29" sqref="AA29"/>
      <selection pane="topRight" activeCell="AA29" sqref="AA29"/>
      <selection pane="bottomLeft" activeCell="AA29" sqref="AA29"/>
      <selection pane="bottomRight" activeCell="V38" sqref="V38:Y38"/>
    </sheetView>
  </sheetViews>
  <sheetFormatPr defaultRowHeight="13.2" outlineLevelRow="1" x14ac:dyDescent="0.25"/>
  <cols>
    <col min="1" max="1" width="40" bestFit="1" customWidth="1"/>
    <col min="2" max="2" width="8" customWidth="1"/>
    <col min="3" max="4" width="7.5546875" bestFit="1" customWidth="1"/>
    <col min="5" max="5" width="8" bestFit="1" customWidth="1"/>
    <col min="6" max="15" width="7.5546875" bestFit="1" customWidth="1"/>
    <col min="16" max="17" width="8.109375" bestFit="1" customWidth="1"/>
    <col min="18" max="19" width="7.5546875" bestFit="1" customWidth="1"/>
    <col min="20" max="20" width="7" bestFit="1" customWidth="1"/>
    <col min="21" max="21" width="7.5546875" bestFit="1" customWidth="1"/>
    <col min="25" max="25" width="9" bestFit="1" customWidth="1"/>
    <col min="29" max="29" width="9" bestFit="1" customWidth="1"/>
  </cols>
  <sheetData>
    <row r="1" spans="1:29" x14ac:dyDescent="0.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 t="shared" ref="V2:Y2" si="0">R2</f>
        <v>0.1673</v>
      </c>
      <c r="W2" s="192">
        <f t="shared" si="0"/>
        <v>0.34110000000000001</v>
      </c>
      <c r="X2" s="192">
        <f t="shared" si="0"/>
        <v>0.25600930209357037</v>
      </c>
      <c r="Y2" s="193">
        <f t="shared" si="0"/>
        <v>0.29091966146996634</v>
      </c>
      <c r="Z2" s="370">
        <f>V2*0.8</f>
        <v>0.13384000000000001</v>
      </c>
      <c r="AA2" s="371">
        <f>W2*0.8</f>
        <v>0.27288000000000001</v>
      </c>
      <c r="AB2" s="371">
        <f>X2*0.8</f>
        <v>0.20480744167485632</v>
      </c>
      <c r="AC2" s="372">
        <f>Y2*0.8</f>
        <v>0.23273572917597307</v>
      </c>
    </row>
    <row r="3" spans="1:29" x14ac:dyDescent="0.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1">T2*T4</f>
        <v>246.16233097071137</v>
      </c>
      <c r="U3" s="196">
        <f t="shared" si="1"/>
        <v>284.61727123934469</v>
      </c>
      <c r="V3" s="341">
        <f t="shared" si="1"/>
        <v>164.51483672992705</v>
      </c>
      <c r="W3" s="196">
        <f t="shared" si="1"/>
        <v>338.39430373372153</v>
      </c>
      <c r="X3" s="196">
        <f t="shared" si="1"/>
        <v>256.29387155057015</v>
      </c>
      <c r="Y3" s="197">
        <f t="shared" si="1"/>
        <v>292.96146386993593</v>
      </c>
      <c r="Z3" s="341">
        <f t="shared" si="1"/>
        <v>135.56992515000991</v>
      </c>
      <c r="AA3" s="196">
        <f t="shared" si="1"/>
        <v>278.01893184776833</v>
      </c>
      <c r="AB3" s="196">
        <f t="shared" si="1"/>
        <v>209.87419053637126</v>
      </c>
      <c r="AC3" s="197">
        <f t="shared" si="1"/>
        <v>239.86814075039771</v>
      </c>
    </row>
    <row r="4" spans="1:29" x14ac:dyDescent="0.25">
      <c r="A4" s="54" t="s">
        <v>179</v>
      </c>
      <c r="B4" s="151">
        <f t="shared" ref="B4:S4" si="2">B3/B2</f>
        <v>1465.8733429148617</v>
      </c>
      <c r="C4" s="152">
        <f t="shared" si="2"/>
        <v>1375.8231420507996</v>
      </c>
      <c r="D4" s="152">
        <f t="shared" si="2"/>
        <v>1741.6195337287902</v>
      </c>
      <c r="E4" s="153">
        <f t="shared" si="2"/>
        <v>1428.0695591076762</v>
      </c>
      <c r="F4" s="154">
        <f t="shared" si="2"/>
        <v>1217.3458725182863</v>
      </c>
      <c r="G4" s="152">
        <f t="shared" si="2"/>
        <v>1148.819279686109</v>
      </c>
      <c r="H4" s="152">
        <f t="shared" si="2"/>
        <v>1172.035977723755</v>
      </c>
      <c r="I4" s="155">
        <f t="shared" si="2"/>
        <v>1179.1282896941909</v>
      </c>
      <c r="J4" s="151">
        <f t="shared" si="2"/>
        <v>1147.5814412635734</v>
      </c>
      <c r="K4" s="152">
        <f t="shared" si="2"/>
        <v>1024.0920532182668</v>
      </c>
      <c r="L4" s="152">
        <f t="shared" si="2"/>
        <v>1103.932584269663</v>
      </c>
      <c r="M4" s="153">
        <f t="shared" si="2"/>
        <v>1023.3100233100236</v>
      </c>
      <c r="N4" s="154">
        <f t="shared" si="2"/>
        <v>1073.9570164348925</v>
      </c>
      <c r="O4" s="152">
        <f t="shared" si="2"/>
        <v>1067.003367003367</v>
      </c>
      <c r="P4" s="152">
        <f t="shared" si="2"/>
        <v>990.93466708346352</v>
      </c>
      <c r="Q4" s="155">
        <f t="shared" si="2"/>
        <v>1093.3908045977009</v>
      </c>
      <c r="R4" s="151">
        <f t="shared" si="2"/>
        <v>909.74297668858333</v>
      </c>
      <c r="S4" s="152">
        <f t="shared" si="2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 x14ac:dyDescent="0.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3">T3*T6</f>
        <v>24.750361864843534</v>
      </c>
      <c r="U5" s="197">
        <f t="shared" si="3"/>
        <v>27.104259929007899</v>
      </c>
      <c r="V5" s="341">
        <f t="shared" si="3"/>
        <v>13.569915902058215</v>
      </c>
      <c r="W5" s="196">
        <f t="shared" si="3"/>
        <v>26.586369347821432</v>
      </c>
      <c r="X5" s="196">
        <f t="shared" si="3"/>
        <v>19.469337219608555</v>
      </c>
      <c r="Y5" s="197">
        <f t="shared" si="3"/>
        <v>22.563358082887607</v>
      </c>
      <c r="Z5" s="341">
        <f t="shared" si="3"/>
        <v>10.163433245103359</v>
      </c>
      <c r="AA5" s="196">
        <f t="shared" si="3"/>
        <v>19.657445333018735</v>
      </c>
      <c r="AB5" s="196">
        <f t="shared" si="3"/>
        <v>13.981377398244513</v>
      </c>
      <c r="AC5" s="197">
        <f t="shared" si="3"/>
        <v>15.345197900733194</v>
      </c>
    </row>
    <row r="6" spans="1:29" x14ac:dyDescent="0.25">
      <c r="A6" s="54" t="s">
        <v>180</v>
      </c>
      <c r="B6" s="165">
        <f t="shared" ref="B6:S6" si="4">B5/B3</f>
        <v>0.13061364415495372</v>
      </c>
      <c r="C6" s="161">
        <f t="shared" si="4"/>
        <v>0.1211775878442545</v>
      </c>
      <c r="D6" s="161">
        <f t="shared" si="4"/>
        <v>0.12046204620462046</v>
      </c>
      <c r="E6" s="162">
        <f t="shared" si="4"/>
        <v>8.560885608856085E-2</v>
      </c>
      <c r="F6" s="163">
        <f t="shared" si="4"/>
        <v>6.8669527896995713E-3</v>
      </c>
      <c r="G6" s="161">
        <f t="shared" si="4"/>
        <v>0.16195543731293649</v>
      </c>
      <c r="H6" s="161">
        <f t="shared" si="4"/>
        <v>0.16161290322580646</v>
      </c>
      <c r="I6" s="164">
        <f t="shared" si="4"/>
        <v>0.14667424673109722</v>
      </c>
      <c r="J6" s="165">
        <f t="shared" si="4"/>
        <v>0.17591397849462365</v>
      </c>
      <c r="K6" s="161">
        <f t="shared" si="4"/>
        <v>0.1990870786516854</v>
      </c>
      <c r="L6" s="161">
        <f t="shared" si="4"/>
        <v>0.25227190112686299</v>
      </c>
      <c r="M6" s="162">
        <f t="shared" si="4"/>
        <v>8.3306215424666416E-2</v>
      </c>
      <c r="N6" s="163">
        <f t="shared" si="4"/>
        <v>0.13243084167157151</v>
      </c>
      <c r="O6" s="161">
        <f t="shared" si="4"/>
        <v>0.1117071631429473</v>
      </c>
      <c r="P6" s="161">
        <f t="shared" si="4"/>
        <v>0.10599369085173502</v>
      </c>
      <c r="Q6" s="164">
        <f t="shared" si="4"/>
        <v>9.4174332019272902E-2</v>
      </c>
      <c r="R6" s="165">
        <f t="shared" si="4"/>
        <v>6.9645203679369258E-2</v>
      </c>
      <c r="S6" s="161">
        <f t="shared" si="4"/>
        <v>8.9318044659022336E-2</v>
      </c>
      <c r="T6" s="242">
        <f>AVERAGE(N6:S6)</f>
        <v>0.10054487933731972</v>
      </c>
      <c r="U6" s="243">
        <f>AVERAGE(O6:T6)</f>
        <v>9.5230552281611092E-2</v>
      </c>
      <c r="V6" s="373">
        <f>AVERAGE(P6:U6)-0.01</f>
        <v>8.2484450471388387E-2</v>
      </c>
      <c r="W6" s="374">
        <f t="shared" ref="W6:AC6" si="5">AVERAGE(Q6:V6)-0.01</f>
        <v>7.8566243741330616E-2</v>
      </c>
      <c r="X6" s="375">
        <f t="shared" si="5"/>
        <v>7.596489569500689E-2</v>
      </c>
      <c r="Y6" s="376">
        <f t="shared" si="5"/>
        <v>7.7018177697613169E-2</v>
      </c>
      <c r="Z6" s="373">
        <f t="shared" si="5"/>
        <v>7.4968199870711641E-2</v>
      </c>
      <c r="AA6" s="374">
        <f t="shared" si="5"/>
        <v>7.0705419959610299E-2</v>
      </c>
      <c r="AB6" s="375">
        <f t="shared" si="5"/>
        <v>6.6617897905943496E-2</v>
      </c>
      <c r="AC6" s="376">
        <f t="shared" si="5"/>
        <v>6.3973472478369348E-2</v>
      </c>
    </row>
    <row r="7" spans="1:29" ht="13.8" thickBot="1" x14ac:dyDescent="0.3">
      <c r="A7" s="55" t="s">
        <v>182</v>
      </c>
      <c r="B7" s="156">
        <f t="shared" ref="B7:Y7" si="6">B5/B2</f>
        <v>191.46305918771421</v>
      </c>
      <c r="C7" s="157">
        <f t="shared" si="6"/>
        <v>166.71892965401901</v>
      </c>
      <c r="D7" s="157">
        <f t="shared" si="6"/>
        <v>209.79905274290707</v>
      </c>
      <c r="E7" s="158">
        <f t="shared" si="6"/>
        <v>122.2554013701036</v>
      </c>
      <c r="F7" s="159">
        <f t="shared" si="6"/>
        <v>8.3594566353187059</v>
      </c>
      <c r="G7" s="157">
        <f t="shared" si="6"/>
        <v>186.05752883509649</v>
      </c>
      <c r="H7" s="157">
        <f t="shared" si="6"/>
        <v>189.41613704503266</v>
      </c>
      <c r="I7" s="160">
        <f t="shared" si="6"/>
        <v>172.94775369022241</v>
      </c>
      <c r="J7" s="156">
        <f t="shared" si="6"/>
        <v>201.87561697926949</v>
      </c>
      <c r="K7" s="157">
        <f t="shared" si="6"/>
        <v>203.88349514563106</v>
      </c>
      <c r="L7" s="157">
        <f t="shared" si="6"/>
        <v>278.49117174959872</v>
      </c>
      <c r="M7" s="158">
        <f t="shared" si="6"/>
        <v>85.248085248085232</v>
      </c>
      <c r="N7" s="159">
        <f t="shared" si="6"/>
        <v>142.22503160556258</v>
      </c>
      <c r="O7" s="157">
        <f t="shared" si="6"/>
        <v>119.1919191919192</v>
      </c>
      <c r="P7" s="157">
        <f t="shared" si="6"/>
        <v>105.0328227571116</v>
      </c>
      <c r="Q7" s="160">
        <f t="shared" si="6"/>
        <v>102.96934865900384</v>
      </c>
      <c r="R7" s="156">
        <f t="shared" si="6"/>
        <v>63.359234907352061</v>
      </c>
      <c r="S7" s="157">
        <f t="shared" si="6"/>
        <v>86.778070946936381</v>
      </c>
      <c r="T7" s="246">
        <f t="shared" si="6"/>
        <v>96.677588128408615</v>
      </c>
      <c r="U7" s="247">
        <f t="shared" si="6"/>
        <v>93.167508143158145</v>
      </c>
      <c r="V7" s="248">
        <f t="shared" si="6"/>
        <v>81.111272576558363</v>
      </c>
      <c r="W7" s="249">
        <f t="shared" si="6"/>
        <v>77.943035320496719</v>
      </c>
      <c r="X7" s="246">
        <f t="shared" si="6"/>
        <v>76.049335162409804</v>
      </c>
      <c r="Y7" s="247">
        <f t="shared" si="6"/>
        <v>77.558725212585813</v>
      </c>
      <c r="Z7" s="248">
        <f>Z5/Z2</f>
        <v>75.937188023784799</v>
      </c>
      <c r="AA7" s="249">
        <f>AA5/AA2</f>
        <v>72.03695885744186</v>
      </c>
      <c r="AB7" s="246">
        <f>AB5/AB2</f>
        <v>68.26596379462012</v>
      </c>
      <c r="AC7" s="247">
        <f>AC5/AC2</f>
        <v>65.934001431858292</v>
      </c>
    </row>
    <row r="8" spans="1:29" x14ac:dyDescent="0.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7">R8</f>
        <v>21.3</v>
      </c>
      <c r="W8" s="200">
        <f t="shared" si="7"/>
        <v>36.200000000000003</v>
      </c>
      <c r="X8" s="200">
        <f t="shared" si="7"/>
        <v>26.058864405403209</v>
      </c>
      <c r="Y8" s="201">
        <f t="shared" si="7"/>
        <v>21.944306867707965</v>
      </c>
      <c r="Z8" s="342">
        <f t="shared" si="7"/>
        <v>21.3</v>
      </c>
      <c r="AA8" s="200">
        <f t="shared" si="7"/>
        <v>36.200000000000003</v>
      </c>
      <c r="AB8" s="200">
        <f t="shared" si="7"/>
        <v>26.058864405403209</v>
      </c>
      <c r="AC8" s="201">
        <f t="shared" si="7"/>
        <v>21.944306867707965</v>
      </c>
    </row>
    <row r="9" spans="1:29" x14ac:dyDescent="0.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8">T8*0.92/1000*T10</f>
        <v>27.532598963446485</v>
      </c>
      <c r="U9" s="204">
        <f t="shared" si="8"/>
        <v>22.950327065076618</v>
      </c>
      <c r="V9" s="346">
        <f t="shared" si="8"/>
        <v>22.658723546672523</v>
      </c>
      <c r="W9" s="204">
        <f t="shared" si="8"/>
        <v>38.703155701274049</v>
      </c>
      <c r="X9" s="204">
        <f t="shared" si="8"/>
        <v>28.103388110765227</v>
      </c>
      <c r="Y9" s="205">
        <f t="shared" si="8"/>
        <v>23.87800892149145</v>
      </c>
      <c r="Z9" s="346">
        <f t="shared" si="8"/>
        <v>23.311325401475603</v>
      </c>
      <c r="AA9" s="204">
        <f t="shared" si="8"/>
        <v>39.846723726592302</v>
      </c>
      <c r="AB9" s="204">
        <f t="shared" si="8"/>
        <v>28.848414409666869</v>
      </c>
      <c r="AC9" s="205">
        <f t="shared" si="8"/>
        <v>24.431865837023548</v>
      </c>
    </row>
    <row r="10" spans="1:29" x14ac:dyDescent="0.25">
      <c r="A10" s="54" t="s">
        <v>179</v>
      </c>
      <c r="B10" s="151">
        <f t="shared" ref="B10:S10" si="9">B9/(B8*0.92/1000)</f>
        <v>1799.624225253516</v>
      </c>
      <c r="C10" s="152">
        <f t="shared" si="9"/>
        <v>1731.6630402595561</v>
      </c>
      <c r="D10" s="152">
        <f t="shared" si="9"/>
        <v>1896.6459412715787</v>
      </c>
      <c r="E10" s="153">
        <f t="shared" si="9"/>
        <v>1952.2772791529899</v>
      </c>
      <c r="F10" s="154">
        <f t="shared" si="9"/>
        <v>1620.7298136645961</v>
      </c>
      <c r="G10" s="152">
        <f t="shared" si="9"/>
        <v>1595.9395861721496</v>
      </c>
      <c r="H10" s="152">
        <f t="shared" si="9"/>
        <v>1573.9738845482934</v>
      </c>
      <c r="I10" s="155">
        <f t="shared" si="9"/>
        <v>1250.097039496216</v>
      </c>
      <c r="J10" s="151">
        <f t="shared" si="9"/>
        <v>1253.8138825324179</v>
      </c>
      <c r="K10" s="152">
        <f t="shared" si="9"/>
        <v>1229.9771167048054</v>
      </c>
      <c r="L10" s="152">
        <f t="shared" si="9"/>
        <v>1223.9678480087687</v>
      </c>
      <c r="M10" s="153">
        <f t="shared" si="9"/>
        <v>1338.439007994622</v>
      </c>
      <c r="N10" s="154">
        <f t="shared" si="9"/>
        <v>1258.9044460820437</v>
      </c>
      <c r="O10" s="152">
        <f t="shared" si="9"/>
        <v>1192.1458625525947</v>
      </c>
      <c r="P10" s="152">
        <f t="shared" si="9"/>
        <v>1151.5658254788689</v>
      </c>
      <c r="Q10" s="155">
        <f t="shared" si="9"/>
        <v>1179.7454931071054</v>
      </c>
      <c r="R10" s="151">
        <f t="shared" si="9"/>
        <v>1189.0181669728518</v>
      </c>
      <c r="S10" s="152">
        <f t="shared" si="9"/>
        <v>1116.9829449915926</v>
      </c>
      <c r="T10" s="238">
        <f t="shared" ref="T10:Y10" si="10">S4*1.1611+20.347</f>
        <v>1148.4283251245968</v>
      </c>
      <c r="U10" s="239">
        <f t="shared" si="10"/>
        <v>1136.7872236666667</v>
      </c>
      <c r="V10" s="240">
        <f t="shared" si="10"/>
        <v>1156.2933020347277</v>
      </c>
      <c r="W10" s="241">
        <f t="shared" si="10"/>
        <v>1162.1173342923987</v>
      </c>
      <c r="X10" s="238">
        <f t="shared" si="10"/>
        <v>1172.2368448115628</v>
      </c>
      <c r="Y10" s="239">
        <f t="shared" si="10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 x14ac:dyDescent="0.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1">T9*T12</f>
        <v>3.7397331707525296</v>
      </c>
      <c r="U11" s="205">
        <f t="shared" si="11"/>
        <v>3.0024815913577836</v>
      </c>
      <c r="V11" s="346">
        <f t="shared" si="11"/>
        <v>2.454295457796686</v>
      </c>
      <c r="W11" s="204">
        <f t="shared" si="11"/>
        <v>4.1031645601229272</v>
      </c>
      <c r="X11" s="204">
        <f t="shared" si="11"/>
        <v>3.0286475051605257</v>
      </c>
      <c r="Y11" s="205">
        <f t="shared" si="11"/>
        <v>2.6605652878771173</v>
      </c>
      <c r="Z11" s="346">
        <f t="shared" si="11"/>
        <v>2.4872321036861429</v>
      </c>
      <c r="AA11" s="204">
        <f t="shared" si="11"/>
        <v>4.0580222068196745</v>
      </c>
      <c r="AB11" s="204">
        <f t="shared" si="11"/>
        <v>2.7985864955460804</v>
      </c>
      <c r="AC11" s="205">
        <f t="shared" si="11"/>
        <v>2.3241005472075558</v>
      </c>
    </row>
    <row r="12" spans="1:29" x14ac:dyDescent="0.25">
      <c r="A12" s="54" t="s">
        <v>180</v>
      </c>
      <c r="B12" s="165">
        <f t="shared" ref="B12:S12" si="12">B11/B9</f>
        <v>0.17201834862385321</v>
      </c>
      <c r="C12" s="161">
        <f t="shared" si="12"/>
        <v>0.14869888475836432</v>
      </c>
      <c r="D12" s="161">
        <f t="shared" si="12"/>
        <v>0.14356435643564355</v>
      </c>
      <c r="E12" s="162">
        <f t="shared" si="12"/>
        <v>0.1004464285714286</v>
      </c>
      <c r="F12" s="163">
        <f t="shared" si="12"/>
        <v>0.11077844311377247</v>
      </c>
      <c r="G12" s="161">
        <f t="shared" si="12"/>
        <v>0.28923766816143498</v>
      </c>
      <c r="H12" s="161">
        <f t="shared" si="12"/>
        <v>0.20183486238532108</v>
      </c>
      <c r="I12" s="164">
        <f t="shared" si="12"/>
        <v>0.15525114155251141</v>
      </c>
      <c r="J12" s="165">
        <f t="shared" si="12"/>
        <v>0.14448669201520911</v>
      </c>
      <c r="K12" s="161">
        <f t="shared" si="12"/>
        <v>0.22997416020671835</v>
      </c>
      <c r="L12" s="161">
        <f t="shared" si="12"/>
        <v>0.16044776119402984</v>
      </c>
      <c r="M12" s="162">
        <f t="shared" si="12"/>
        <v>0.15695067264573992</v>
      </c>
      <c r="N12" s="163">
        <f t="shared" si="12"/>
        <v>0.16585365853658537</v>
      </c>
      <c r="O12" s="161">
        <f t="shared" si="12"/>
        <v>0.20588235294117646</v>
      </c>
      <c r="P12" s="161">
        <f t="shared" si="12"/>
        <v>0.12211221122112212</v>
      </c>
      <c r="Q12" s="164">
        <f t="shared" si="12"/>
        <v>9.5505617977528059E-2</v>
      </c>
      <c r="R12" s="165">
        <f t="shared" si="12"/>
        <v>8.5836909871244635E-2</v>
      </c>
      <c r="S12" s="161">
        <f t="shared" si="12"/>
        <v>0.13978494623655913</v>
      </c>
      <c r="T12" s="242">
        <f>AVERAGE(N12:S12)</f>
        <v>0.13582928279736931</v>
      </c>
      <c r="U12" s="243">
        <f>AVERAGE(O12:T12)</f>
        <v>0.13082522017416662</v>
      </c>
      <c r="V12" s="373">
        <f>AVERAGE(P12:U12)-0.01</f>
        <v>0.10831569804633165</v>
      </c>
      <c r="W12" s="374">
        <f t="shared" ref="W12:AC12" si="13">AVERAGE(Q12:V12)-0.01</f>
        <v>0.10601627918386658</v>
      </c>
      <c r="X12" s="375">
        <f t="shared" si="13"/>
        <v>0.10776805605158968</v>
      </c>
      <c r="Y12" s="376">
        <f t="shared" si="13"/>
        <v>0.11142324708164716</v>
      </c>
      <c r="Z12" s="373">
        <f t="shared" si="13"/>
        <v>0.10669629722249518</v>
      </c>
      <c r="AA12" s="374">
        <f t="shared" si="13"/>
        <v>0.10184079962668281</v>
      </c>
      <c r="AB12" s="375">
        <f t="shared" si="13"/>
        <v>9.7010062868768857E-2</v>
      </c>
      <c r="AC12" s="376">
        <f t="shared" si="13"/>
        <v>9.5125790339175065E-2</v>
      </c>
    </row>
    <row r="13" spans="1:29" ht="13.8" thickBot="1" x14ac:dyDescent="0.3">
      <c r="A13" s="55" t="s">
        <v>182</v>
      </c>
      <c r="B13" s="156">
        <f t="shared" ref="B13:Y13" si="14">B11/(B8*0.92/1000)</f>
        <v>309.56838737159103</v>
      </c>
      <c r="C13" s="157">
        <f t="shared" si="14"/>
        <v>257.49636286387454</v>
      </c>
      <c r="D13" s="157">
        <f t="shared" si="14"/>
        <v>272.29075394492963</v>
      </c>
      <c r="E13" s="158">
        <f t="shared" si="14"/>
        <v>196.09928027206379</v>
      </c>
      <c r="F13" s="159">
        <f t="shared" si="14"/>
        <v>179.54192546583852</v>
      </c>
      <c r="G13" s="157">
        <f t="shared" si="14"/>
        <v>461.60584443095803</v>
      </c>
      <c r="H13" s="157">
        <f t="shared" si="14"/>
        <v>317.68280238589404</v>
      </c>
      <c r="I13" s="160">
        <f t="shared" si="14"/>
        <v>194.07899243320247</v>
      </c>
      <c r="J13" s="156">
        <f t="shared" si="14"/>
        <v>181.15942028985506</v>
      </c>
      <c r="K13" s="157">
        <f t="shared" si="14"/>
        <v>282.86295448766839</v>
      </c>
      <c r="L13" s="157">
        <f t="shared" si="14"/>
        <v>196.38290098648153</v>
      </c>
      <c r="M13" s="158">
        <f t="shared" si="14"/>
        <v>210.06890260005281</v>
      </c>
      <c r="N13" s="159">
        <f t="shared" si="14"/>
        <v>208.79390813068042</v>
      </c>
      <c r="O13" s="157">
        <f t="shared" si="14"/>
        <v>245.44179523141653</v>
      </c>
      <c r="P13" s="157">
        <f t="shared" si="14"/>
        <v>140.62024931590148</v>
      </c>
      <c r="Q13" s="160">
        <f t="shared" si="14"/>
        <v>112.67232237539768</v>
      </c>
      <c r="R13" s="156">
        <f t="shared" si="14"/>
        <v>102.06164523372118</v>
      </c>
      <c r="S13" s="157">
        <f t="shared" si="14"/>
        <v>156.13740091280326</v>
      </c>
      <c r="T13" s="246">
        <f t="shared" si="14"/>
        <v>155.99019574585805</v>
      </c>
      <c r="U13" s="247">
        <f t="shared" si="14"/>
        <v>148.72043882737125</v>
      </c>
      <c r="V13" s="248">
        <f t="shared" si="14"/>
        <v>125.24471615618933</v>
      </c>
      <c r="W13" s="249">
        <f t="shared" si="14"/>
        <v>123.20335575675375</v>
      </c>
      <c r="X13" s="246">
        <f t="shared" si="14"/>
        <v>126.32968599739114</v>
      </c>
      <c r="Y13" s="247">
        <f t="shared" si="14"/>
        <v>131.78446731559191</v>
      </c>
      <c r="Z13" s="248">
        <f>Z11/(Z8*0.92/1000)</f>
        <v>126.92550029016856</v>
      </c>
      <c r="AA13" s="249">
        <f>AA11/(AA8*0.92/1000)</f>
        <v>121.84789234985811</v>
      </c>
      <c r="AB13" s="246">
        <f>AB11/(AB8*0.92/1000)</f>
        <v>116.73347678013684</v>
      </c>
      <c r="AC13" s="247">
        <f>AC11/(AC8*0.92/1000)</f>
        <v>115.11852537398416</v>
      </c>
    </row>
    <row r="14" spans="1:29" ht="13.8" thickBot="1" x14ac:dyDescent="0.3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8" thickBot="1" x14ac:dyDescent="0.3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8" hidden="1" outlineLevel="1" thickBot="1" x14ac:dyDescent="0.3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8" hidden="1" outlineLevel="1" thickBot="1" x14ac:dyDescent="0.3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8" hidden="1" outlineLevel="1" thickBot="1" x14ac:dyDescent="0.3">
      <c r="A18" s="63" t="s">
        <v>195</v>
      </c>
      <c r="B18" s="79">
        <f t="shared" ref="B18:S18" si="15">SUM(B16:B17)</f>
        <v>4.4595999999999997E-2</v>
      </c>
      <c r="C18" s="51">
        <f t="shared" si="15"/>
        <v>0</v>
      </c>
      <c r="D18" s="51">
        <f t="shared" si="15"/>
        <v>0</v>
      </c>
      <c r="E18" s="80">
        <f t="shared" si="15"/>
        <v>0</v>
      </c>
      <c r="F18" s="72">
        <f t="shared" si="15"/>
        <v>3.1097E-2</v>
      </c>
      <c r="G18" s="51">
        <f t="shared" si="15"/>
        <v>0</v>
      </c>
      <c r="H18" s="51">
        <f t="shared" si="15"/>
        <v>0</v>
      </c>
      <c r="I18" s="83">
        <f t="shared" si="15"/>
        <v>0</v>
      </c>
      <c r="J18" s="79">
        <f t="shared" si="15"/>
        <v>0</v>
      </c>
      <c r="K18" s="51">
        <f t="shared" si="15"/>
        <v>0</v>
      </c>
      <c r="L18" s="51">
        <f t="shared" si="15"/>
        <v>0</v>
      </c>
      <c r="M18" s="80">
        <f t="shared" si="15"/>
        <v>0</v>
      </c>
      <c r="N18" s="72">
        <f t="shared" si="15"/>
        <v>0</v>
      </c>
      <c r="O18" s="51">
        <f t="shared" si="15"/>
        <v>0</v>
      </c>
      <c r="P18" s="51">
        <f t="shared" si="15"/>
        <v>0</v>
      </c>
      <c r="Q18" s="83">
        <f t="shared" si="15"/>
        <v>0</v>
      </c>
      <c r="R18" s="79">
        <f t="shared" si="15"/>
        <v>0</v>
      </c>
      <c r="S18" s="51">
        <f t="shared" si="15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8" collapsed="1" thickBot="1" x14ac:dyDescent="0.3">
      <c r="A19" s="64" t="s">
        <v>189</v>
      </c>
      <c r="B19" s="105">
        <f t="shared" ref="B19:Y19" si="16">(B2+B8*0.92/1000)/0.44</f>
        <v>0.50732109090909094</v>
      </c>
      <c r="C19" s="106">
        <f t="shared" si="16"/>
        <v>0.94033727272727274</v>
      </c>
      <c r="D19" s="106">
        <f t="shared" si="16"/>
        <v>0.44381081818181817</v>
      </c>
      <c r="E19" s="107">
        <f t="shared" si="16"/>
        <v>0.69908536363636353</v>
      </c>
      <c r="F19" s="108">
        <f t="shared" si="16"/>
        <v>0.26433636363636365</v>
      </c>
      <c r="G19" s="106">
        <f t="shared" si="16"/>
        <v>0.65839300000000001</v>
      </c>
      <c r="H19" s="106">
        <f t="shared" si="16"/>
        <v>0.64834645454545448</v>
      </c>
      <c r="I19" s="109">
        <f t="shared" si="16"/>
        <v>0.71789690909090909</v>
      </c>
      <c r="J19" s="105">
        <f t="shared" si="16"/>
        <v>0.50812727272727276</v>
      </c>
      <c r="K19" s="106">
        <f t="shared" si="16"/>
        <v>0.70355454545454543</v>
      </c>
      <c r="L19" s="106">
        <f t="shared" si="16"/>
        <v>0.61612727272727275</v>
      </c>
      <c r="M19" s="107">
        <f t="shared" si="16"/>
        <v>0.72036636363636364</v>
      </c>
      <c r="N19" s="108">
        <f t="shared" si="16"/>
        <v>0.39655454545454544</v>
      </c>
      <c r="O19" s="106">
        <f t="shared" si="16"/>
        <v>0.73981818181818171</v>
      </c>
      <c r="P19" s="106">
        <f t="shared" si="16"/>
        <v>0.78684545454545463</v>
      </c>
      <c r="Q19" s="109">
        <f t="shared" si="16"/>
        <v>0.50883636363636353</v>
      </c>
      <c r="R19" s="105">
        <f t="shared" si="16"/>
        <v>0.4247636363636364</v>
      </c>
      <c r="S19" s="106">
        <f t="shared" si="16"/>
        <v>0.8509181818181818</v>
      </c>
      <c r="T19" s="254">
        <f t="shared" si="16"/>
        <v>0.6363260394239576</v>
      </c>
      <c r="U19" s="255">
        <f t="shared" si="16"/>
        <v>0.70706459951876743</v>
      </c>
      <c r="V19" s="256">
        <f t="shared" si="16"/>
        <v>0.4247636363636364</v>
      </c>
      <c r="W19" s="257">
        <f t="shared" si="16"/>
        <v>0.8509181818181818</v>
      </c>
      <c r="X19" s="254">
        <f t="shared" si="16"/>
        <v>0.6363260394239576</v>
      </c>
      <c r="Y19" s="255">
        <f t="shared" si="16"/>
        <v>0.70706459951876743</v>
      </c>
      <c r="Z19" s="256">
        <f>(Z2+Z8*0.92/1000)/0.44</f>
        <v>0.34871818181818187</v>
      </c>
      <c r="AA19" s="257">
        <f>(AA2+AA8*0.92/1000)/0.44</f>
        <v>0.69587272727272731</v>
      </c>
      <c r="AB19" s="254">
        <f>(AB2+AB8*0.92/1000)/0.44</f>
        <v>0.51995817483597107</v>
      </c>
      <c r="AC19" s="255">
        <f>(AC2+AC8*0.92/1000)/0.44</f>
        <v>0.57482838975969175</v>
      </c>
    </row>
    <row r="20" spans="1:29" ht="3.6" customHeight="1" thickBot="1" x14ac:dyDescent="0.3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 x14ac:dyDescent="0.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7">V27</f>
        <v>0.91972100000000001</v>
      </c>
      <c r="W21" s="208">
        <f t="shared" si="17"/>
        <v>1.2452169999999998</v>
      </c>
      <c r="X21" s="208">
        <f t="shared" si="17"/>
        <v>0.97686859248248969</v>
      </c>
      <c r="Y21" s="209">
        <f t="shared" si="17"/>
        <v>0.74446840314189744</v>
      </c>
      <c r="Z21" s="344">
        <f t="shared" si="17"/>
        <v>1.3795815</v>
      </c>
      <c r="AA21" s="208">
        <f t="shared" si="17"/>
        <v>1.8678254999999997</v>
      </c>
      <c r="AB21" s="208">
        <f t="shared" si="17"/>
        <v>1.4653028887237345</v>
      </c>
      <c r="AC21" s="209">
        <f t="shared" si="17"/>
        <v>1.1167026047128461</v>
      </c>
    </row>
    <row r="22" spans="1:29" x14ac:dyDescent="0.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8">T21*T23</f>
        <v>171.06896475576775</v>
      </c>
      <c r="U22" s="213">
        <f t="shared" si="18"/>
        <v>132.2875255593336</v>
      </c>
      <c r="V22" s="345">
        <f t="shared" si="18"/>
        <v>170.40619226731295</v>
      </c>
      <c r="W22" s="212">
        <f t="shared" si="18"/>
        <v>241.10553382631178</v>
      </c>
      <c r="X22" s="212">
        <f t="shared" si="18"/>
        <v>194.92270331025188</v>
      </c>
      <c r="Y22" s="213">
        <f t="shared" si="18"/>
        <v>152.17759597649271</v>
      </c>
      <c r="Z22" s="345">
        <f t="shared" si="18"/>
        <v>288.72415537619702</v>
      </c>
      <c r="AA22" s="212">
        <f t="shared" si="18"/>
        <v>400.00725653647396</v>
      </c>
      <c r="AB22" s="212">
        <f t="shared" si="18"/>
        <v>320.94446374419005</v>
      </c>
      <c r="AC22" s="213">
        <f t="shared" si="18"/>
        <v>250.03218936472095</v>
      </c>
    </row>
    <row r="23" spans="1:29" x14ac:dyDescent="0.25">
      <c r="A23" s="54" t="s">
        <v>179</v>
      </c>
      <c r="B23" s="151">
        <f t="shared" ref="B23:R23" si="19">B22/B21</f>
        <v>303.03684527653093</v>
      </c>
      <c r="C23" s="152">
        <f t="shared" si="19"/>
        <v>312.04168876961961</v>
      </c>
      <c r="D23" s="152">
        <f t="shared" si="19"/>
        <v>365.89189974684314</v>
      </c>
      <c r="E23" s="153">
        <f t="shared" si="19"/>
        <v>310.46448712879527</v>
      </c>
      <c r="F23" s="154">
        <f t="shared" si="19"/>
        <v>258.84451357012142</v>
      </c>
      <c r="G23" s="152">
        <f t="shared" si="19"/>
        <v>246.09347208232077</v>
      </c>
      <c r="H23" s="152">
        <f t="shared" si="19"/>
        <v>235.34958377071993</v>
      </c>
      <c r="I23" s="155">
        <f t="shared" si="19"/>
        <v>263.07740228252948</v>
      </c>
      <c r="J23" s="151">
        <f t="shared" si="19"/>
        <v>235.07248750921448</v>
      </c>
      <c r="K23" s="152">
        <f t="shared" si="19"/>
        <v>222.80826799714899</v>
      </c>
      <c r="L23" s="152">
        <f t="shared" si="19"/>
        <v>224.67522715326271</v>
      </c>
      <c r="M23" s="153">
        <f t="shared" si="19"/>
        <v>196.01623953311338</v>
      </c>
      <c r="N23" s="154">
        <f t="shared" si="19"/>
        <v>190.10135863704983</v>
      </c>
      <c r="O23" s="152">
        <f t="shared" si="19"/>
        <v>195.4040365862877</v>
      </c>
      <c r="P23" s="152">
        <f t="shared" si="19"/>
        <v>180.43677998445119</v>
      </c>
      <c r="Q23" s="155">
        <f t="shared" si="19"/>
        <v>176.81042590353357</v>
      </c>
      <c r="R23" s="151">
        <f t="shared" si="19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 x14ac:dyDescent="0.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20">T22*T25</f>
        <v>7.7783212331435179</v>
      </c>
      <c r="U24" s="213">
        <f t="shared" si="20"/>
        <v>5.7168514797620302</v>
      </c>
      <c r="V24" s="345">
        <f t="shared" si="20"/>
        <v>5.656933226668003</v>
      </c>
      <c r="W24" s="212">
        <f t="shared" si="20"/>
        <v>5.9852862609221482</v>
      </c>
      <c r="X24" s="212">
        <f t="shared" si="20"/>
        <v>4.8059663726461386</v>
      </c>
      <c r="Y24" s="213">
        <f t="shared" si="20"/>
        <v>3.8312735009214163</v>
      </c>
      <c r="Z24" s="345">
        <f t="shared" si="20"/>
        <v>6.5702769173452484</v>
      </c>
      <c r="AA24" s="212">
        <f t="shared" si="20"/>
        <v>7.5884561354046172</v>
      </c>
      <c r="AB24" s="212">
        <f t="shared" si="20"/>
        <v>4.7917128833050588</v>
      </c>
      <c r="AC24" s="213">
        <f t="shared" si="20"/>
        <v>2.9717785895195692</v>
      </c>
    </row>
    <row r="25" spans="1:29" x14ac:dyDescent="0.25">
      <c r="A25" s="54" t="s">
        <v>180</v>
      </c>
      <c r="B25" s="165">
        <f t="shared" ref="B25:S25" si="21">B24/B22</f>
        <v>3.7564766839378233E-2</v>
      </c>
      <c r="C25" s="161">
        <f t="shared" si="21"/>
        <v>2.2058823529411766E-2</v>
      </c>
      <c r="D25" s="161">
        <f t="shared" si="21"/>
        <v>2.0066889632107024E-2</v>
      </c>
      <c r="E25" s="162">
        <f t="shared" si="21"/>
        <v>-2.3460410557184751E-2</v>
      </c>
      <c r="F25" s="163">
        <f t="shared" si="21"/>
        <v>4.1048034934497817E-2</v>
      </c>
      <c r="G25" s="161">
        <f t="shared" si="21"/>
        <v>1.1564211807668897E-2</v>
      </c>
      <c r="H25" s="161">
        <f t="shared" si="21"/>
        <v>0.10632090761750404</v>
      </c>
      <c r="I25" s="164">
        <f t="shared" si="21"/>
        <v>7.1466666666666706E-2</v>
      </c>
      <c r="J25" s="165">
        <f t="shared" si="21"/>
        <v>6.1672473867595813E-2</v>
      </c>
      <c r="K25" s="161">
        <f t="shared" si="21"/>
        <v>4.8624440179142671E-2</v>
      </c>
      <c r="L25" s="161">
        <f t="shared" si="21"/>
        <v>7.5200534759358298E-2</v>
      </c>
      <c r="M25" s="162">
        <f t="shared" si="21"/>
        <v>2.5889967637540454E-2</v>
      </c>
      <c r="N25" s="163">
        <f t="shared" si="21"/>
        <v>5.8990357345433918E-2</v>
      </c>
      <c r="O25" s="161">
        <f t="shared" si="21"/>
        <v>4.3326885880077368E-2</v>
      </c>
      <c r="P25" s="161">
        <f t="shared" si="21"/>
        <v>8.3431257344300819E-2</v>
      </c>
      <c r="Q25" s="164">
        <f t="shared" si="21"/>
        <v>2.5835866261398107E-2</v>
      </c>
      <c r="R25" s="165">
        <f t="shared" si="21"/>
        <v>2.1532298447671509E-2</v>
      </c>
      <c r="S25" s="161">
        <f t="shared" si="21"/>
        <v>3.9696860339227709E-2</v>
      </c>
      <c r="T25" s="242">
        <f>AVERAGE(N25:S25)</f>
        <v>4.5468920936351576E-2</v>
      </c>
      <c r="U25" s="243">
        <f>AVERAGE(O25:T25)</f>
        <v>4.3215348201504515E-2</v>
      </c>
      <c r="V25" s="373">
        <f>AVERAGE(P25:U25)-0.01</f>
        <v>3.3196758588409037E-2</v>
      </c>
      <c r="W25" s="374">
        <f t="shared" ref="W25:AC25" si="22">AVERAGE(Q25:V25)-0.01</f>
        <v>2.4824342129093742E-2</v>
      </c>
      <c r="X25" s="375">
        <f t="shared" si="22"/>
        <v>2.4655754773709682E-2</v>
      </c>
      <c r="Y25" s="376">
        <f t="shared" si="22"/>
        <v>2.5176330828049376E-2</v>
      </c>
      <c r="Z25" s="373">
        <f t="shared" si="22"/>
        <v>2.2756242576186317E-2</v>
      </c>
      <c r="AA25" s="374">
        <f t="shared" si="22"/>
        <v>1.897079618282544E-2</v>
      </c>
      <c r="AB25" s="375">
        <f t="shared" si="22"/>
        <v>1.4930037513045594E-2</v>
      </c>
      <c r="AC25" s="376">
        <f t="shared" si="22"/>
        <v>1.1885584000485025E-2</v>
      </c>
    </row>
    <row r="26" spans="1:29" ht="13.8" thickBot="1" x14ac:dyDescent="0.3">
      <c r="A26" s="55" t="s">
        <v>182</v>
      </c>
      <c r="B26" s="156">
        <f t="shared" ref="B26:R26" si="23">B24/B21</f>
        <v>11.383508436553623</v>
      </c>
      <c r="C26" s="157">
        <f t="shared" si="23"/>
        <v>6.8832725463886675</v>
      </c>
      <c r="D26" s="157">
        <f t="shared" si="23"/>
        <v>7.3423123695018697</v>
      </c>
      <c r="E26" s="158">
        <f t="shared" si="23"/>
        <v>-7.2836243314673386</v>
      </c>
      <c r="F26" s="159">
        <f t="shared" si="23"/>
        <v>10.62505863562944</v>
      </c>
      <c r="G26" s="157">
        <f t="shared" si="23"/>
        <v>2.8458770356446097</v>
      </c>
      <c r="H26" s="157">
        <f t="shared" si="23"/>
        <v>25.022581353904741</v>
      </c>
      <c r="I26" s="160">
        <f t="shared" si="23"/>
        <v>18.801265016458114</v>
      </c>
      <c r="J26" s="156">
        <f t="shared" si="23"/>
        <v>14.497501842902775</v>
      </c>
      <c r="K26" s="157">
        <f t="shared" si="23"/>
        <v>10.833927298645758</v>
      </c>
      <c r="L26" s="157">
        <f t="shared" si="23"/>
        <v>16.895697229105654</v>
      </c>
      <c r="M26" s="158">
        <f t="shared" si="23"/>
        <v>5.0748540979446828</v>
      </c>
      <c r="N26" s="159">
        <f t="shared" si="23"/>
        <v>11.21414707785206</v>
      </c>
      <c r="O26" s="157">
        <f t="shared" si="23"/>
        <v>8.4662483936805497</v>
      </c>
      <c r="P26" s="157">
        <f t="shared" si="23"/>
        <v>15.054067425259735</v>
      </c>
      <c r="Q26" s="160">
        <f t="shared" si="23"/>
        <v>4.5680505172645329</v>
      </c>
      <c r="R26" s="156">
        <f t="shared" si="23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 x14ac:dyDescent="0.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 t="shared" ref="V27:Y27" si="24">R27</f>
        <v>0.91972100000000001</v>
      </c>
      <c r="W27" s="214">
        <f t="shared" si="24"/>
        <v>1.2452169999999998</v>
      </c>
      <c r="X27" s="214">
        <f t="shared" si="24"/>
        <v>0.97686859248248969</v>
      </c>
      <c r="Y27" s="215">
        <f t="shared" si="24"/>
        <v>0.74446840314189744</v>
      </c>
      <c r="Z27" s="385">
        <f>V27*1.5</f>
        <v>1.3795815</v>
      </c>
      <c r="AA27" s="386">
        <f>W27*1.5</f>
        <v>1.8678254999999997</v>
      </c>
      <c r="AB27" s="386">
        <f>X27*1.5</f>
        <v>1.4653028887237345</v>
      </c>
      <c r="AC27" s="387">
        <f>Y27*1.5</f>
        <v>1.1167026047128461</v>
      </c>
    </row>
    <row r="28" spans="1:29" x14ac:dyDescent="0.25">
      <c r="A28" s="54" t="s">
        <v>183</v>
      </c>
      <c r="B28" s="165">
        <f t="shared" ref="B28:R28" si="25">B27/B$21</f>
        <v>1.4526259595021873</v>
      </c>
      <c r="C28" s="161">
        <f t="shared" si="25"/>
        <v>0.94412480566227175</v>
      </c>
      <c r="D28" s="161">
        <f t="shared" si="25"/>
        <v>0.89549247378217389</v>
      </c>
      <c r="E28" s="162">
        <f t="shared" si="25"/>
        <v>0.72333123416757594</v>
      </c>
      <c r="F28" s="163">
        <f t="shared" si="25"/>
        <v>0.4735961641277675</v>
      </c>
      <c r="G28" s="161">
        <f t="shared" si="25"/>
        <v>0.65809408619262844</v>
      </c>
      <c r="H28" s="161">
        <f t="shared" si="25"/>
        <v>0.62356043868857269</v>
      </c>
      <c r="I28" s="164">
        <f t="shared" si="25"/>
        <v>0.93527734672058227</v>
      </c>
      <c r="J28" s="165">
        <f t="shared" si="25"/>
        <v>0.54840691293308197</v>
      </c>
      <c r="K28" s="161">
        <f t="shared" si="25"/>
        <v>0.73691874554526016</v>
      </c>
      <c r="L28" s="161">
        <f t="shared" si="25"/>
        <v>0.81430352181422239</v>
      </c>
      <c r="M28" s="162">
        <f t="shared" si="25"/>
        <v>1.0911507231667086</v>
      </c>
      <c r="N28" s="163">
        <f t="shared" si="25"/>
        <v>0.6413899072676299</v>
      </c>
      <c r="O28" s="161">
        <f t="shared" si="25"/>
        <v>0.85980195026079076</v>
      </c>
      <c r="P28" s="161">
        <f t="shared" si="25"/>
        <v>0.84832709025372821</v>
      </c>
      <c r="Q28" s="164">
        <f t="shared" si="25"/>
        <v>1.0628039768910391</v>
      </c>
      <c r="R28" s="165">
        <f t="shared" si="25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 x14ac:dyDescent="0.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6">T27*T30</f>
        <v>12.699291702272365</v>
      </c>
      <c r="U29" s="219">
        <f t="shared" si="26"/>
        <v>9.6780892408446668</v>
      </c>
      <c r="V29" s="348">
        <f t="shared" si="26"/>
        <v>11.956372999999999</v>
      </c>
      <c r="W29" s="218">
        <f t="shared" si="26"/>
        <v>16.187820999999996</v>
      </c>
      <c r="X29" s="218">
        <f t="shared" si="26"/>
        <v>12.699291702272365</v>
      </c>
      <c r="Y29" s="219">
        <f t="shared" si="26"/>
        <v>9.6780892408446668</v>
      </c>
      <c r="Z29" s="348">
        <f>Z27*Z30</f>
        <v>13.795815000000001</v>
      </c>
      <c r="AA29" s="218">
        <f>AA27*AA30</f>
        <v>18.678254999999996</v>
      </c>
      <c r="AB29" s="218">
        <f>AB27*AB30</f>
        <v>14.653028887237344</v>
      </c>
      <c r="AC29" s="219">
        <f>AC27*AC30</f>
        <v>11.167026047128461</v>
      </c>
    </row>
    <row r="30" spans="1:29" x14ac:dyDescent="0.25">
      <c r="A30" s="54" t="s">
        <v>179</v>
      </c>
      <c r="B30" s="151">
        <f>B29/B27</f>
        <v>18.915698137884633</v>
      </c>
      <c r="C30" s="152">
        <f t="shared" ref="C30:S30" si="27">C29/C27</f>
        <v>15.456153371701532</v>
      </c>
      <c r="D30" s="152">
        <f t="shared" si="27"/>
        <v>15.373480063624466</v>
      </c>
      <c r="E30" s="153">
        <f t="shared" si="27"/>
        <v>18.340976905489789</v>
      </c>
      <c r="F30" s="154">
        <f t="shared" si="27"/>
        <v>17.18413999346048</v>
      </c>
      <c r="G30" s="152">
        <f t="shared" si="27"/>
        <v>16.614887394307697</v>
      </c>
      <c r="H30" s="152">
        <f t="shared" si="27"/>
        <v>16.149297811403112</v>
      </c>
      <c r="I30" s="155">
        <f t="shared" si="27"/>
        <v>15.751835088787841</v>
      </c>
      <c r="J30" s="151">
        <f t="shared" si="27"/>
        <v>15.980882682398628</v>
      </c>
      <c r="K30" s="152">
        <f t="shared" si="27"/>
        <v>15.088543636358359</v>
      </c>
      <c r="L30" s="152">
        <f t="shared" si="27"/>
        <v>15.400107708537744</v>
      </c>
      <c r="M30" s="153">
        <f t="shared" si="27"/>
        <v>14.301577243051232</v>
      </c>
      <c r="N30" s="154">
        <f t="shared" si="27"/>
        <v>15.466733913335856</v>
      </c>
      <c r="O30" s="152">
        <f t="shared" si="27"/>
        <v>15.297617791656995</v>
      </c>
      <c r="P30" s="152">
        <f t="shared" si="27"/>
        <v>15.079588568838739</v>
      </c>
      <c r="Q30" s="155">
        <f t="shared" si="27"/>
        <v>15.928297378783745</v>
      </c>
      <c r="R30" s="151">
        <f t="shared" si="27"/>
        <v>13.482349538610078</v>
      </c>
      <c r="S30" s="152">
        <f t="shared" si="27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381">
        <v>10</v>
      </c>
      <c r="AA30" s="382">
        <v>10</v>
      </c>
      <c r="AB30" s="383">
        <v>10</v>
      </c>
      <c r="AC30" s="384">
        <v>10</v>
      </c>
    </row>
    <row r="31" spans="1:29" x14ac:dyDescent="0.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8">T27*T33</f>
        <v>9.7686859248248972</v>
      </c>
      <c r="U31" s="218">
        <f t="shared" si="28"/>
        <v>7.4446840314189746</v>
      </c>
      <c r="V31" s="218">
        <f t="shared" si="28"/>
        <v>9.1972100000000001</v>
      </c>
      <c r="W31" s="218">
        <f t="shared" si="28"/>
        <v>12.452169999999999</v>
      </c>
      <c r="X31" s="218">
        <f t="shared" si="28"/>
        <v>9.7686859248248972</v>
      </c>
      <c r="Y31" s="218">
        <f t="shared" si="28"/>
        <v>7.4446840314189746</v>
      </c>
      <c r="Z31" s="218">
        <f>Z27*Z33</f>
        <v>8.2774889999999992</v>
      </c>
      <c r="AA31" s="218">
        <f>AA27*AA33</f>
        <v>11.206952999999999</v>
      </c>
      <c r="AB31" s="218">
        <f>AB27*AB33</f>
        <v>8.7918173323424078</v>
      </c>
      <c r="AC31" s="218">
        <f>AC27*AC33</f>
        <v>6.7002156282770766</v>
      </c>
    </row>
    <row r="32" spans="1:29" x14ac:dyDescent="0.25">
      <c r="A32" s="54" t="s">
        <v>180</v>
      </c>
      <c r="B32" s="165">
        <f t="shared" ref="B32:Y32" si="29">B31/B29</f>
        <v>0.5714285714285714</v>
      </c>
      <c r="C32" s="161">
        <f t="shared" si="29"/>
        <v>0.64779874213836486</v>
      </c>
      <c r="D32" s="161">
        <f t="shared" si="29"/>
        <v>0.55555555555555558</v>
      </c>
      <c r="E32" s="162">
        <f t="shared" si="29"/>
        <v>0.37254901960784309</v>
      </c>
      <c r="F32" s="163">
        <f t="shared" si="29"/>
        <v>0.51388888888888895</v>
      </c>
      <c r="G32" s="161">
        <f t="shared" si="29"/>
        <v>0.64383561643835618</v>
      </c>
      <c r="H32" s="161">
        <f t="shared" si="29"/>
        <v>0.62121212121212122</v>
      </c>
      <c r="I32" s="164">
        <f t="shared" si="29"/>
        <v>0.5714285714285714</v>
      </c>
      <c r="J32" s="165">
        <f t="shared" si="29"/>
        <v>0.63551401869158886</v>
      </c>
      <c r="K32" s="161">
        <f t="shared" si="29"/>
        <v>0.67948717948717952</v>
      </c>
      <c r="L32" s="161">
        <f t="shared" si="29"/>
        <v>0.6706586826347305</v>
      </c>
      <c r="M32" s="162">
        <f t="shared" si="29"/>
        <v>0.66666666666666674</v>
      </c>
      <c r="N32" s="163">
        <f t="shared" si="29"/>
        <v>0.59782608695652184</v>
      </c>
      <c r="O32" s="161">
        <f t="shared" si="29"/>
        <v>0.66666666666666674</v>
      </c>
      <c r="P32" s="161">
        <f t="shared" si="29"/>
        <v>0.66298342541436461</v>
      </c>
      <c r="Q32" s="164">
        <f t="shared" si="29"/>
        <v>0.66666666666666685</v>
      </c>
      <c r="R32" s="165">
        <f t="shared" si="29"/>
        <v>0.84677419354838712</v>
      </c>
      <c r="S32" s="161">
        <f t="shared" si="29"/>
        <v>0.82317073170731714</v>
      </c>
      <c r="T32" s="242">
        <f t="shared" si="29"/>
        <v>0.76923076923076927</v>
      </c>
      <c r="U32" s="243">
        <f t="shared" si="29"/>
        <v>0.76923076923076927</v>
      </c>
      <c r="V32" s="244">
        <f t="shared" si="29"/>
        <v>0.76923076923076927</v>
      </c>
      <c r="W32" s="245">
        <f t="shared" si="29"/>
        <v>0.76923076923076938</v>
      </c>
      <c r="X32" s="242">
        <f t="shared" si="29"/>
        <v>0.76923076923076927</v>
      </c>
      <c r="Y32" s="243">
        <f t="shared" si="29"/>
        <v>0.76923076923076927</v>
      </c>
      <c r="Z32" s="244">
        <f>Z31/Z29</f>
        <v>0.59999999999999987</v>
      </c>
      <c r="AA32" s="245">
        <f>AA31/AA29</f>
        <v>0.60000000000000009</v>
      </c>
      <c r="AB32" s="242">
        <f>AB31/AB29</f>
        <v>0.60000000000000009</v>
      </c>
      <c r="AC32" s="243">
        <f>AC31/AC29</f>
        <v>0.6</v>
      </c>
    </row>
    <row r="33" spans="1:29" ht="13.8" thickBot="1" x14ac:dyDescent="0.3">
      <c r="A33" s="55" t="s">
        <v>182</v>
      </c>
      <c r="B33" s="156">
        <f>B31/B27</f>
        <v>10.808970364505504</v>
      </c>
      <c r="C33" s="157">
        <f t="shared" ref="C33:S33" si="30">C31/C27</f>
        <v>10.012476712485899</v>
      </c>
      <c r="D33" s="157">
        <f t="shared" si="30"/>
        <v>8.5408222575691486</v>
      </c>
      <c r="E33" s="158">
        <f t="shared" si="30"/>
        <v>6.8329129647903137</v>
      </c>
      <c r="F33" s="159">
        <f t="shared" si="30"/>
        <v>8.8307386077505257</v>
      </c>
      <c r="G33" s="157">
        <f t="shared" si="30"/>
        <v>10.697256267567969</v>
      </c>
      <c r="H33" s="157">
        <f t="shared" si="30"/>
        <v>10.032139549507994</v>
      </c>
      <c r="I33" s="160">
        <f t="shared" si="30"/>
        <v>9.0010486221644808</v>
      </c>
      <c r="J33" s="156">
        <f t="shared" si="30"/>
        <v>10.15607497572997</v>
      </c>
      <c r="K33" s="157">
        <f t="shared" si="30"/>
        <v>10.252471958038372</v>
      </c>
      <c r="L33" s="157">
        <f t="shared" si="30"/>
        <v>10.328215948240883</v>
      </c>
      <c r="M33" s="158">
        <f t="shared" si="30"/>
        <v>9.5343848287008228</v>
      </c>
      <c r="N33" s="159">
        <f t="shared" si="30"/>
        <v>9.2464170134073065</v>
      </c>
      <c r="O33" s="157">
        <f t="shared" si="30"/>
        <v>10.198411861104663</v>
      </c>
      <c r="P33" s="157">
        <f t="shared" si="30"/>
        <v>9.997517283208003</v>
      </c>
      <c r="Q33" s="160">
        <f t="shared" si="30"/>
        <v>10.618864919189166</v>
      </c>
      <c r="R33" s="156">
        <f t="shared" si="30"/>
        <v>11.416505657694017</v>
      </c>
      <c r="S33" s="157">
        <f t="shared" si="30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377">
        <v>6</v>
      </c>
      <c r="AA33" s="378">
        <v>6</v>
      </c>
      <c r="AB33" s="379">
        <v>6</v>
      </c>
      <c r="AC33" s="380">
        <v>6</v>
      </c>
    </row>
    <row r="34" spans="1:29" x14ac:dyDescent="0.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 t="shared" ref="V34:Y34" si="31">R34</f>
        <v>0.72090983606557379</v>
      </c>
      <c r="W34" s="222">
        <f t="shared" si="31"/>
        <v>2.2107901639344263</v>
      </c>
      <c r="X34" s="222">
        <f t="shared" si="31"/>
        <v>9.9833076895268144E-2</v>
      </c>
      <c r="Y34" s="223">
        <f t="shared" si="31"/>
        <v>2.5763374682649845E-2</v>
      </c>
      <c r="Z34" s="349">
        <f>(Z27+Z19)*Z36</f>
        <v>0.9267106567030664</v>
      </c>
      <c r="AA34" s="222">
        <f>(AA27+AA19)*AA36</f>
        <v>2.7039281022106776</v>
      </c>
      <c r="AB34" s="222">
        <f>(AB27+AB19)*AB36</f>
        <v>0.12285852958815924</v>
      </c>
      <c r="AC34" s="223">
        <f>(AC27+AC19)*AC36</f>
        <v>3.0023118122722556E-2</v>
      </c>
    </row>
    <row r="35" spans="1:29" ht="26.4" x14ac:dyDescent="0.2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 x14ac:dyDescent="0.25">
      <c r="A36" s="54" t="s">
        <v>186</v>
      </c>
      <c r="B36" s="165">
        <f>B34/(B$27+EBITDA_bad!B$19)</f>
        <v>0.38187690183857892</v>
      </c>
      <c r="C36" s="161">
        <f>C34/(C$27+EBITDA_bad!C$19)</f>
        <v>0.58271073426647835</v>
      </c>
      <c r="D36" s="161">
        <f>D34/(D$27+EBITDA_bad!D$19)</f>
        <v>7.905643996012994E-2</v>
      </c>
      <c r="E36" s="162">
        <f>E34/(E$27+EBITDA_bad!E$19)</f>
        <v>2.5073256284212624E-2</v>
      </c>
      <c r="F36" s="163">
        <f>F34/(F$27+EBITDA_bad!F$19)</f>
        <v>0.5800876317270629</v>
      </c>
      <c r="G36" s="161">
        <f>G34/(G$27+EBITDA_bad!G$19)</f>
        <v>1.3341142365874108</v>
      </c>
      <c r="H36" s="161">
        <f>H34/(H$27+EBITDA_bad!H$19)</f>
        <v>8.759796106691016E-2</v>
      </c>
      <c r="I36" s="164">
        <f>I34/(I$27+EBITDA_bad!I$19)</f>
        <v>6.3712922087494645E-3</v>
      </c>
      <c r="J36" s="165">
        <f>J34/(J$27+EBITDA_bad!J$19)</f>
        <v>0.56768635612697049</v>
      </c>
      <c r="K36" s="161">
        <f>K34/(K$27+EBITDA_bad!K$19)</f>
        <v>1.0414383555534064</v>
      </c>
      <c r="L36" s="161">
        <f>L34/(L$27+EBITDA_bad!L$19)</f>
        <v>1.5337481162042397E-2</v>
      </c>
      <c r="M36" s="162">
        <f>M34/(M$27+EBITDA_bad!M$19)</f>
        <v>1.2033621579003267E-2</v>
      </c>
      <c r="N36" s="163">
        <f>N34/(N$27+EBITDA_bad!N$19)</f>
        <v>0.73974714898060934</v>
      </c>
      <c r="O36" s="161">
        <f>O34/(O$27+EBITDA_bad!O$19)</f>
        <v>1.0432971729934279</v>
      </c>
      <c r="P36" s="161">
        <f>P34/(P$27+EBITDA_bad!P$19)</f>
        <v>4.8732551848262237E-2</v>
      </c>
      <c r="Q36" s="164">
        <f>Q34/(Q$27+EBITDA_bad!Q$19)</f>
        <v>2.3895587274622921E-2</v>
      </c>
      <c r="R36" s="165">
        <f>R34/(R$27+EBITDA_bad!R$19)</f>
        <v>0.5361978981146146</v>
      </c>
      <c r="S36" s="161">
        <f>S34/(S$27+EBITDA_bad!S$19)</f>
        <v>1.0546982766716377</v>
      </c>
      <c r="T36" s="242">
        <f>T34/(T$27+EBITDA_bad!T$19)</f>
        <v>6.1885326742804142E-2</v>
      </c>
      <c r="U36" s="243">
        <f>U34/(U$27+EBITDA_bad!U$19)</f>
        <v>1.7749079514847745E-2</v>
      </c>
      <c r="V36" s="244">
        <f>V34/(V$27+EBITDA_bad!V$19)</f>
        <v>0.5361978981146146</v>
      </c>
      <c r="W36" s="245">
        <f>W34/(W$27+EBITDA_bad!W$19)</f>
        <v>1.0546982766716377</v>
      </c>
      <c r="X36" s="242">
        <f>X34/(X$27+EBITDA_bad!X$19)</f>
        <v>6.1885326742804142E-2</v>
      </c>
      <c r="Y36" s="243">
        <f>Y34/(Y$27+EBITDA_bad!Y$19)</f>
        <v>1.7749079514847745E-2</v>
      </c>
      <c r="Z36" s="366">
        <f>V36</f>
        <v>0.5361978981146146</v>
      </c>
      <c r="AA36" s="367">
        <f>W36</f>
        <v>1.0546982766716377</v>
      </c>
      <c r="AB36" s="368">
        <f>X36</f>
        <v>6.1885326742804142E-2</v>
      </c>
      <c r="AC36" s="369">
        <f>Y36</f>
        <v>1.7749079514847745E-2</v>
      </c>
    </row>
    <row r="37" spans="1:29" x14ac:dyDescent="0.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32">T34*T38</f>
        <v>5.4638900568168713</v>
      </c>
      <c r="U37" s="227">
        <f t="shared" si="32"/>
        <v>1.4100361436946764</v>
      </c>
      <c r="V37" s="350">
        <f t="shared" si="32"/>
        <v>10.5</v>
      </c>
      <c r="W37" s="226">
        <f t="shared" si="32"/>
        <v>32.200000000000003</v>
      </c>
      <c r="X37" s="226">
        <f t="shared" si="32"/>
        <v>5.4638900568168713</v>
      </c>
      <c r="Y37" s="227">
        <f t="shared" si="32"/>
        <v>1.4100361436946764</v>
      </c>
      <c r="Z37" s="350">
        <f t="shared" si="32"/>
        <v>10.797979340647663</v>
      </c>
      <c r="AA37" s="226">
        <f t="shared" si="32"/>
        <v>31.506014930421518</v>
      </c>
      <c r="AB37" s="226">
        <f t="shared" si="32"/>
        <v>5.3792632188717171</v>
      </c>
      <c r="AC37" s="227">
        <f t="shared" si="32"/>
        <v>1.3145384009948906</v>
      </c>
    </row>
    <row r="38" spans="1:29" x14ac:dyDescent="0.25">
      <c r="A38" s="54" t="s">
        <v>179</v>
      </c>
      <c r="B38" s="151">
        <f t="shared" ref="B38:S38" si="33">B37/B34</f>
        <v>19.522589545252991</v>
      </c>
      <c r="C38" s="152">
        <f t="shared" si="33"/>
        <v>19.522589545252988</v>
      </c>
      <c r="D38" s="152">
        <f t="shared" si="33"/>
        <v>130.27295285359824</v>
      </c>
      <c r="E38" s="153">
        <f t="shared" si="33"/>
        <v>130.27295285359824</v>
      </c>
      <c r="F38" s="154">
        <f t="shared" si="33"/>
        <v>24.723141677904461</v>
      </c>
      <c r="G38" s="152">
        <f t="shared" si="33"/>
        <v>24.723293224387383</v>
      </c>
      <c r="H38" s="152">
        <f t="shared" si="33"/>
        <v>102.02966148015901</v>
      </c>
      <c r="I38" s="155">
        <f t="shared" si="33"/>
        <v>102.02966148015901</v>
      </c>
      <c r="J38" s="151">
        <f t="shared" si="33"/>
        <v>13.761097659402742</v>
      </c>
      <c r="K38" s="152">
        <f t="shared" si="33"/>
        <v>13.76109765940274</v>
      </c>
      <c r="L38" s="152">
        <f t="shared" si="33"/>
        <v>184.03547671840494</v>
      </c>
      <c r="M38" s="153">
        <f t="shared" si="33"/>
        <v>184.03547671840494</v>
      </c>
      <c r="N38" s="154">
        <f t="shared" si="33"/>
        <v>11.590326535161038</v>
      </c>
      <c r="O38" s="152">
        <f t="shared" si="33"/>
        <v>11.590326535161038</v>
      </c>
      <c r="P38" s="152">
        <f t="shared" si="33"/>
        <v>54.730258014073563</v>
      </c>
      <c r="Q38" s="155">
        <f t="shared" si="33"/>
        <v>54.730258014073556</v>
      </c>
      <c r="R38" s="151">
        <f t="shared" si="33"/>
        <v>14.564928198656069</v>
      </c>
      <c r="S38" s="152">
        <f t="shared" si="33"/>
        <v>14.564928198656071</v>
      </c>
      <c r="T38" s="238">
        <f>P38</f>
        <v>54.730258014073563</v>
      </c>
      <c r="U38" s="239">
        <f t="shared" ref="U38:AC39" si="34">Q38</f>
        <v>54.730258014073556</v>
      </c>
      <c r="V38" s="240">
        <f t="shared" si="34"/>
        <v>14.564928198656069</v>
      </c>
      <c r="W38" s="241">
        <f t="shared" si="34"/>
        <v>14.564928198656071</v>
      </c>
      <c r="X38" s="238">
        <f t="shared" si="34"/>
        <v>54.730258014073563</v>
      </c>
      <c r="Y38" s="239">
        <f t="shared" si="34"/>
        <v>54.730258014073556</v>
      </c>
      <c r="Z38" s="381">
        <f>V38*0.8</f>
        <v>11.651942558924857</v>
      </c>
      <c r="AA38" s="382">
        <f>W38*0.8</f>
        <v>11.651942558924858</v>
      </c>
      <c r="AB38" s="383">
        <f>X38*0.8</f>
        <v>43.78420641125885</v>
      </c>
      <c r="AC38" s="384">
        <f>Y38*0.8</f>
        <v>43.78420641125885</v>
      </c>
    </row>
    <row r="39" spans="1:29" x14ac:dyDescent="0.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4"/>
        <v>-0.30000000000000426</v>
      </c>
      <c r="V39" s="350">
        <f t="shared" si="34"/>
        <v>7.1</v>
      </c>
      <c r="W39" s="226">
        <f t="shared" si="34"/>
        <v>23</v>
      </c>
      <c r="X39" s="226">
        <f t="shared" si="34"/>
        <v>3.1</v>
      </c>
      <c r="Y39" s="227">
        <f t="shared" si="34"/>
        <v>-0.30000000000000426</v>
      </c>
      <c r="Z39" s="350">
        <f t="shared" si="34"/>
        <v>7.1</v>
      </c>
      <c r="AA39" s="226">
        <f t="shared" si="34"/>
        <v>23</v>
      </c>
      <c r="AB39" s="226">
        <f t="shared" si="34"/>
        <v>3.1</v>
      </c>
      <c r="AC39" s="227">
        <f t="shared" si="34"/>
        <v>-0.30000000000000426</v>
      </c>
    </row>
    <row r="40" spans="1:29" x14ac:dyDescent="0.25">
      <c r="A40" s="54" t="s">
        <v>180</v>
      </c>
      <c r="B40" s="165">
        <f t="shared" ref="B40:Y40" si="35">B39/B37</f>
        <v>0.31182795698924726</v>
      </c>
      <c r="C40" s="161">
        <f t="shared" si="35"/>
        <v>0.4241071428571429</v>
      </c>
      <c r="D40" s="161">
        <f t="shared" si="35"/>
        <v>0.5</v>
      </c>
      <c r="E40" s="162">
        <f t="shared" si="35"/>
        <v>0.41463414634146312</v>
      </c>
      <c r="F40" s="163">
        <f t="shared" si="35"/>
        <v>0.46938775510204073</v>
      </c>
      <c r="G40" s="161">
        <f t="shared" si="35"/>
        <v>0.58579881656804733</v>
      </c>
      <c r="H40" s="161">
        <f t="shared" si="35"/>
        <v>0.61832061068702293</v>
      </c>
      <c r="I40" s="164">
        <f t="shared" si="35"/>
        <v>-3.5555555555555283</v>
      </c>
      <c r="J40" s="165">
        <f t="shared" si="35"/>
        <v>0.48913043478260876</v>
      </c>
      <c r="K40" s="161">
        <f t="shared" si="35"/>
        <v>0.5381526104417671</v>
      </c>
      <c r="L40" s="161">
        <f t="shared" si="35"/>
        <v>0.125</v>
      </c>
      <c r="M40" s="162">
        <f t="shared" si="35"/>
        <v>-5.7142857142856822E-2</v>
      </c>
      <c r="N40" s="163">
        <f t="shared" si="35"/>
        <v>0.6</v>
      </c>
      <c r="O40" s="161">
        <f t="shared" si="35"/>
        <v>0.68281938325991187</v>
      </c>
      <c r="P40" s="161">
        <f t="shared" si="35"/>
        <v>0.58490566037735847</v>
      </c>
      <c r="Q40" s="164">
        <f t="shared" si="35"/>
        <v>-0.17647058823529632</v>
      </c>
      <c r="R40" s="165">
        <f t="shared" si="35"/>
        <v>0.67619047619047612</v>
      </c>
      <c r="S40" s="161">
        <f t="shared" si="35"/>
        <v>0.71428571428571419</v>
      </c>
      <c r="T40" s="242">
        <f t="shared" si="35"/>
        <v>0.56736134288287354</v>
      </c>
      <c r="U40" s="243">
        <f t="shared" si="35"/>
        <v>-0.21276050358108059</v>
      </c>
      <c r="V40" s="244">
        <f t="shared" si="35"/>
        <v>0.67619047619047612</v>
      </c>
      <c r="W40" s="245">
        <f t="shared" si="35"/>
        <v>0.71428571428571419</v>
      </c>
      <c r="X40" s="242">
        <f t="shared" si="35"/>
        <v>0.56736134288287354</v>
      </c>
      <c r="Y40" s="243">
        <f t="shared" si="35"/>
        <v>-0.21276050358108059</v>
      </c>
      <c r="Z40" s="244">
        <f>Z39/Z37</f>
        <v>0.65753043009379764</v>
      </c>
      <c r="AA40" s="245">
        <f>AA39/AA37</f>
        <v>0.73001933284147924</v>
      </c>
      <c r="AB40" s="242">
        <f>AB39/AB37</f>
        <v>0.57628709989956861</v>
      </c>
      <c r="AC40" s="243">
        <f>AC39/AC37</f>
        <v>-0.2282169921950955</v>
      </c>
    </row>
    <row r="41" spans="1:29" ht="13.8" thickBot="1" x14ac:dyDescent="0.3">
      <c r="A41" s="55" t="s">
        <v>182</v>
      </c>
      <c r="B41" s="156">
        <f>B39/B34</f>
        <v>6.087689213035878</v>
      </c>
      <c r="C41" s="157">
        <f t="shared" ref="C41:Y41" si="36">C39/C34</f>
        <v>8.2796696732099733</v>
      </c>
      <c r="D41" s="157">
        <f t="shared" si="36"/>
        <v>65.136476426799121</v>
      </c>
      <c r="E41" s="158">
        <f t="shared" si="36"/>
        <v>54.01561459783337</v>
      </c>
      <c r="F41" s="159">
        <f t="shared" si="36"/>
        <v>11.604739971261274</v>
      </c>
      <c r="G41" s="157">
        <f t="shared" si="36"/>
        <v>14.482875912510952</v>
      </c>
      <c r="H41" s="157">
        <f t="shared" si="36"/>
        <v>63.087042594602138</v>
      </c>
      <c r="I41" s="160">
        <f t="shared" si="36"/>
        <v>-362.77212970722928</v>
      </c>
      <c r="J41" s="156">
        <f t="shared" si="36"/>
        <v>6.7309716812296028</v>
      </c>
      <c r="K41" s="157">
        <f t="shared" si="36"/>
        <v>7.4055706279516764</v>
      </c>
      <c r="L41" s="157">
        <f t="shared" si="36"/>
        <v>23.004434589800617</v>
      </c>
      <c r="M41" s="158">
        <f t="shared" si="36"/>
        <v>-10.516312955337366</v>
      </c>
      <c r="N41" s="159">
        <f t="shared" si="36"/>
        <v>6.9541959210966224</v>
      </c>
      <c r="O41" s="157">
        <f t="shared" si="36"/>
        <v>7.9140996165196524</v>
      </c>
      <c r="P41" s="157">
        <f t="shared" si="36"/>
        <v>32.01203770634492</v>
      </c>
      <c r="Q41" s="160">
        <f t="shared" si="36"/>
        <v>-9.658280826013101</v>
      </c>
      <c r="R41" s="156">
        <f t="shared" si="36"/>
        <v>9.8486657343293409</v>
      </c>
      <c r="S41" s="157">
        <f t="shared" si="36"/>
        <v>10.403520141897193</v>
      </c>
      <c r="T41" s="246">
        <f t="shared" si="36"/>
        <v>31.051832683190923</v>
      </c>
      <c r="U41" s="247">
        <f t="shared" si="36"/>
        <v>-11.644437256196762</v>
      </c>
      <c r="V41" s="248">
        <f t="shared" si="36"/>
        <v>9.8486657343293409</v>
      </c>
      <c r="W41" s="249">
        <f t="shared" si="36"/>
        <v>10.403520141897193</v>
      </c>
      <c r="X41" s="246">
        <f t="shared" si="36"/>
        <v>31.051832683190923</v>
      </c>
      <c r="Y41" s="247">
        <f t="shared" si="36"/>
        <v>-11.644437256196762</v>
      </c>
      <c r="Z41" s="248">
        <f>Z39/Z34</f>
        <v>7.6615068021980868</v>
      </c>
      <c r="AA41" s="249">
        <f>AA39/AA34</f>
        <v>8.5061433331735632</v>
      </c>
      <c r="AB41" s="246">
        <f>AB39/AB34</f>
        <v>25.232273334148463</v>
      </c>
      <c r="AC41" s="247">
        <f>AC39/AC34</f>
        <v>-9.9922998928267113</v>
      </c>
    </row>
    <row r="42" spans="1:29" ht="3.6" customHeight="1" thickBot="1" x14ac:dyDescent="0.3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 x14ac:dyDescent="0.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>Farming!M30</f>
        <v>2.1208800000000001</v>
      </c>
      <c r="V43" s="232"/>
      <c r="W43" s="233"/>
      <c r="X43" s="230"/>
      <c r="Y43" s="338">
        <f>Farming!N30</f>
        <v>2.0927949999999997</v>
      </c>
      <c r="Z43" s="232"/>
      <c r="AA43" s="233"/>
      <c r="AB43" s="230"/>
      <c r="AC43" s="343">
        <f>Farming!O30/2</f>
        <v>1.4433610714285716</v>
      </c>
    </row>
    <row r="44" spans="1:29" x14ac:dyDescent="0.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 x14ac:dyDescent="0.25">
      <c r="A45" s="190" t="s">
        <v>235</v>
      </c>
      <c r="B45" s="283"/>
      <c r="C45" s="281"/>
      <c r="D45" s="281"/>
      <c r="E45" s="298">
        <f>E44*Farming!$I$31/SUM(Farming!$I$2:$I$7)*10^6/43100</f>
        <v>40.173891806081329</v>
      </c>
      <c r="F45" s="280"/>
      <c r="G45" s="281"/>
      <c r="H45" s="281"/>
      <c r="I45" s="284">
        <f>I44*Farming!$J$31/SUM(Farming!$J$2:$J$7)*10^6/43100</f>
        <v>88.367340945012629</v>
      </c>
      <c r="J45" s="280"/>
      <c r="K45" s="281"/>
      <c r="L45" s="281"/>
      <c r="M45" s="284">
        <f>M44*Farming!$K$31/SUM(Farming!$K$2:$K$7)*10^6/43100</f>
        <v>92.282113647996837</v>
      </c>
      <c r="N45" s="288"/>
      <c r="O45" s="286"/>
      <c r="P45" s="286"/>
      <c r="Q45" s="289">
        <f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 x14ac:dyDescent="0.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7">V66*V23</f>
        <v>95.18754022029475</v>
      </c>
      <c r="W46" s="234">
        <f t="shared" si="37"/>
        <v>182.9359203893255</v>
      </c>
      <c r="X46" s="234">
        <f t="shared" si="37"/>
        <v>56.292546431850859</v>
      </c>
      <c r="Y46" s="235">
        <f t="shared" si="37"/>
        <v>71.981073918057604</v>
      </c>
      <c r="Z46" s="337">
        <f t="shared" si="37"/>
        <v>74.154052698597681</v>
      </c>
      <c r="AA46" s="234">
        <f t="shared" si="37"/>
        <v>139.54578435308679</v>
      </c>
      <c r="AB46" s="234">
        <f t="shared" si="37"/>
        <v>42.616266260853429</v>
      </c>
      <c r="AC46" s="235">
        <f t="shared" si="37"/>
        <v>54.377666422272824</v>
      </c>
    </row>
    <row r="47" spans="1:29" outlineLevel="1" x14ac:dyDescent="0.25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 x14ac:dyDescent="0.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8">T46*T49</f>
        <v>22.678385837132495</v>
      </c>
      <c r="U48" s="235">
        <f t="shared" si="38"/>
        <v>22.678385837132495</v>
      </c>
      <c r="V48" s="337">
        <f t="shared" si="38"/>
        <v>42.559813656189476</v>
      </c>
      <c r="W48" s="234">
        <f t="shared" si="38"/>
        <v>81.793464404842652</v>
      </c>
      <c r="X48" s="234">
        <f t="shared" si="38"/>
        <v>25.169263548856392</v>
      </c>
      <c r="Y48" s="235">
        <f t="shared" si="38"/>
        <v>32.183845549900752</v>
      </c>
      <c r="Z48" s="337">
        <f t="shared" si="38"/>
        <v>0</v>
      </c>
      <c r="AA48" s="234">
        <f t="shared" si="38"/>
        <v>0</v>
      </c>
      <c r="AB48" s="234">
        <f t="shared" si="38"/>
        <v>0</v>
      </c>
      <c r="AC48" s="235">
        <f t="shared" si="38"/>
        <v>0</v>
      </c>
    </row>
    <row r="49" spans="1:29" ht="13.8" thickBot="1" x14ac:dyDescent="0.3">
      <c r="A49" s="54" t="s">
        <v>180</v>
      </c>
      <c r="B49" s="165">
        <f t="shared" ref="B49:S49" si="39">B48/B46</f>
        <v>0.29804372842347521</v>
      </c>
      <c r="C49" s="161">
        <f t="shared" si="39"/>
        <v>-0.1953125</v>
      </c>
      <c r="D49" s="161">
        <f t="shared" si="39"/>
        <v>-0.29166666666666669</v>
      </c>
      <c r="E49" s="162">
        <f t="shared" si="39"/>
        <v>1.9139072847682128</v>
      </c>
      <c r="F49" s="163">
        <f t="shared" si="39"/>
        <v>-9.1559370529327611E-2</v>
      </c>
      <c r="G49" s="161">
        <f t="shared" si="39"/>
        <v>-0.25575757575757579</v>
      </c>
      <c r="H49" s="161">
        <f t="shared" si="39"/>
        <v>-0.61604584527220629</v>
      </c>
      <c r="I49" s="164">
        <f t="shared" si="39"/>
        <v>1.2709359605911321</v>
      </c>
      <c r="J49" s="165">
        <f t="shared" si="39"/>
        <v>0.1934900542495479</v>
      </c>
      <c r="K49" s="161">
        <f t="shared" si="39"/>
        <v>0.30131306150656534</v>
      </c>
      <c r="L49" s="161">
        <f t="shared" si="39"/>
        <v>0.26552462526766596</v>
      </c>
      <c r="M49" s="162">
        <f t="shared" si="39"/>
        <v>0.48979591836734709</v>
      </c>
      <c r="N49" s="163">
        <f t="shared" si="39"/>
        <v>0.40213523131672596</v>
      </c>
      <c r="O49" s="161">
        <f t="shared" si="39"/>
        <v>0.39642481598317558</v>
      </c>
      <c r="P49" s="161">
        <f t="shared" si="39"/>
        <v>3.2376237623762378</v>
      </c>
      <c r="Q49" s="164">
        <f t="shared" si="39"/>
        <v>3.5538461538461572</v>
      </c>
      <c r="R49" s="165">
        <f t="shared" si="39"/>
        <v>0.53073770491803274</v>
      </c>
      <c r="S49" s="161">
        <f t="shared" si="39"/>
        <v>0.44711538461538458</v>
      </c>
      <c r="T49" s="242">
        <f t="shared" ref="T49:AC49" si="40">S49</f>
        <v>0.44711538461538458</v>
      </c>
      <c r="U49" s="243">
        <f t="shared" si="40"/>
        <v>0.44711538461538458</v>
      </c>
      <c r="V49" s="244">
        <f t="shared" si="40"/>
        <v>0.44711538461538458</v>
      </c>
      <c r="W49" s="245">
        <f t="shared" si="40"/>
        <v>0.44711538461538458</v>
      </c>
      <c r="X49" s="242">
        <f t="shared" si="40"/>
        <v>0.44711538461538458</v>
      </c>
      <c r="Y49" s="243">
        <f t="shared" si="40"/>
        <v>0.44711538461538458</v>
      </c>
      <c r="Z49" s="373">
        <f>Y49*0</f>
        <v>0</v>
      </c>
      <c r="AA49" s="245">
        <f t="shared" si="40"/>
        <v>0</v>
      </c>
      <c r="AB49" s="242">
        <f t="shared" si="40"/>
        <v>0</v>
      </c>
      <c r="AC49" s="243">
        <f t="shared" si="40"/>
        <v>0</v>
      </c>
    </row>
    <row r="50" spans="1:29" ht="13.8" hidden="1" outlineLevel="1" thickBot="1" x14ac:dyDescent="0.3">
      <c r="A50" s="55" t="s">
        <v>182</v>
      </c>
      <c r="B50" s="156" t="e">
        <f t="shared" ref="B50:S50" si="41">B48/B43</f>
        <v>#DIV/0!</v>
      </c>
      <c r="C50" s="157" t="e">
        <f t="shared" si="41"/>
        <v>#DIV/0!</v>
      </c>
      <c r="D50" s="157" t="e">
        <f t="shared" si="41"/>
        <v>#DIV/0!</v>
      </c>
      <c r="E50" s="158">
        <f t="shared" si="41"/>
        <v>94.198174706649283</v>
      </c>
      <c r="F50" s="159" t="e">
        <f t="shared" si="41"/>
        <v>#DIV/0!</v>
      </c>
      <c r="G50" s="157" t="e">
        <f t="shared" si="41"/>
        <v>#DIV/0!</v>
      </c>
      <c r="H50" s="157" t="e">
        <f t="shared" si="41"/>
        <v>#DIV/0!</v>
      </c>
      <c r="I50" s="160">
        <f t="shared" si="41"/>
        <v>18.759543372355122</v>
      </c>
      <c r="J50" s="156" t="e">
        <f t="shared" si="41"/>
        <v>#DIV/0!</v>
      </c>
      <c r="K50" s="157" t="e">
        <f t="shared" si="41"/>
        <v>#DIV/0!</v>
      </c>
      <c r="L50" s="157" t="e">
        <f t="shared" si="41"/>
        <v>#DIV/0!</v>
      </c>
      <c r="M50" s="158">
        <f t="shared" si="41"/>
        <v>17.347789824854047</v>
      </c>
      <c r="N50" s="159" t="e">
        <f t="shared" si="41"/>
        <v>#DIV/0!</v>
      </c>
      <c r="O50" s="157" t="e">
        <f t="shared" si="41"/>
        <v>#DIV/0!</v>
      </c>
      <c r="P50" s="157" t="e">
        <f t="shared" si="41"/>
        <v>#DIV/0!</v>
      </c>
      <c r="Q50" s="160">
        <f t="shared" si="41"/>
        <v>12.704174228675148</v>
      </c>
      <c r="R50" s="156" t="e">
        <f t="shared" si="41"/>
        <v>#DIV/0!</v>
      </c>
      <c r="S50" s="157" t="e">
        <f t="shared" si="41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 x14ac:dyDescent="0.3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 x14ac:dyDescent="0.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 x14ac:dyDescent="0.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 x14ac:dyDescent="0.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8" thickBot="1" x14ac:dyDescent="0.3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42">U55</f>
        <v>-20.8</v>
      </c>
      <c r="W55" s="149">
        <f t="shared" si="42"/>
        <v>-20.8</v>
      </c>
      <c r="X55" s="149">
        <f t="shared" si="42"/>
        <v>-20.8</v>
      </c>
      <c r="Y55" s="150">
        <f t="shared" si="42"/>
        <v>-20.8</v>
      </c>
      <c r="Z55" s="356">
        <f t="shared" si="42"/>
        <v>-20.8</v>
      </c>
      <c r="AA55" s="149">
        <f t="shared" si="42"/>
        <v>-20.8</v>
      </c>
      <c r="AB55" s="149">
        <f t="shared" si="42"/>
        <v>-20.8</v>
      </c>
      <c r="AC55" s="150">
        <f t="shared" si="42"/>
        <v>-20.8</v>
      </c>
    </row>
    <row r="57" spans="1:29" x14ac:dyDescent="0.25">
      <c r="A57" s="30" t="s">
        <v>212</v>
      </c>
      <c r="B57" s="85">
        <f t="shared" ref="B57:M57" si="43">SUM(B24,B31,B39,B5,B11,B48,B52,B54,B55)</f>
        <v>74.999999999999986</v>
      </c>
      <c r="C57" s="85">
        <f t="shared" si="43"/>
        <v>80.899999999999991</v>
      </c>
      <c r="D57" s="85">
        <f t="shared" si="43"/>
        <v>45</v>
      </c>
      <c r="E57" s="85">
        <f t="shared" si="43"/>
        <v>86.699999999999989</v>
      </c>
      <c r="F57" s="85">
        <f t="shared" si="43"/>
        <v>3.0000000000000036</v>
      </c>
      <c r="G57" s="85">
        <f t="shared" si="43"/>
        <v>57.5</v>
      </c>
      <c r="H57" s="85">
        <f t="shared" si="43"/>
        <v>30.099999999999994</v>
      </c>
      <c r="I57" s="85">
        <f t="shared" si="43"/>
        <v>132.39999999999998</v>
      </c>
      <c r="J57" s="85">
        <f t="shared" si="43"/>
        <v>80.500000000000014</v>
      </c>
      <c r="K57" s="85">
        <f t="shared" si="43"/>
        <v>142.30000000000001</v>
      </c>
      <c r="L57" s="85">
        <f t="shared" si="43"/>
        <v>115.20000000000002</v>
      </c>
      <c r="M57" s="85">
        <f t="shared" si="43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4">SUM(P24,P31,P39,P5,P11,P48,P52,P54,P55)</f>
        <v>99.000000000000014</v>
      </c>
      <c r="Q57" s="85">
        <f t="shared" si="44"/>
        <v>47.300000000000011</v>
      </c>
      <c r="R57" s="85">
        <f t="shared" si="44"/>
        <v>72.400000000000006</v>
      </c>
      <c r="S57" s="85">
        <f t="shared" si="44"/>
        <v>130.19999999999999</v>
      </c>
      <c r="T57" s="84">
        <f t="shared" si="44"/>
        <v>51.015488030696972</v>
      </c>
      <c r="U57" s="84">
        <f t="shared" si="44"/>
        <v>44.846662868679189</v>
      </c>
      <c r="V57" s="84">
        <f t="shared" si="44"/>
        <v>59.738168242712376</v>
      </c>
      <c r="W57" s="84">
        <f t="shared" si="44"/>
        <v>133.12045457370914</v>
      </c>
      <c r="X57" s="84">
        <f t="shared" si="44"/>
        <v>44.541900571096519</v>
      </c>
      <c r="Y57" s="84">
        <f t="shared" si="44"/>
        <v>47.583726453005866</v>
      </c>
      <c r="Z57" s="84">
        <f t="shared" si="44"/>
        <v>13.798431266134752</v>
      </c>
      <c r="AA57" s="84">
        <f t="shared" si="44"/>
        <v>44.710876675243028</v>
      </c>
      <c r="AB57" s="84">
        <f t="shared" si="44"/>
        <v>12.663494109438066</v>
      </c>
      <c r="AC57" s="84">
        <f t="shared" si="44"/>
        <v>6.2412926657373937</v>
      </c>
    </row>
    <row r="58" spans="1:29" x14ac:dyDescent="0.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284.98424984052389</v>
      </c>
      <c r="AC58" s="33">
        <f>SUM(Z57:AC57)</f>
        <v>77.414094716553237</v>
      </c>
    </row>
    <row r="60" spans="1:29" x14ac:dyDescent="0.25">
      <c r="A60" s="30" t="s">
        <v>203</v>
      </c>
    </row>
    <row r="61" spans="1:29" x14ac:dyDescent="0.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5">Y61*2-X61</f>
        <v>192.02556022408962</v>
      </c>
      <c r="AA61" s="351">
        <f t="shared" si="45"/>
        <v>196.89834267040146</v>
      </c>
      <c r="AB61" s="351">
        <f t="shared" si="45"/>
        <v>201.77112511671331</v>
      </c>
      <c r="AC61" s="351">
        <f t="shared" si="45"/>
        <v>206.64390756302515</v>
      </c>
    </row>
    <row r="62" spans="1:29" x14ac:dyDescent="0.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5"/>
        <v>164.79033870766153</v>
      </c>
      <c r="AA62" s="351">
        <f t="shared" si="45"/>
        <v>167.55874265716784</v>
      </c>
      <c r="AB62" s="351">
        <f t="shared" si="45"/>
        <v>170.32714660667415</v>
      </c>
      <c r="AC62" s="351">
        <f t="shared" si="45"/>
        <v>173.09555055618046</v>
      </c>
    </row>
    <row r="63" spans="1:29" x14ac:dyDescent="0.25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5"/>
        <v>510.72691111111106</v>
      </c>
      <c r="AA63" s="351">
        <f t="shared" si="45"/>
        <v>510.10282222222213</v>
      </c>
      <c r="AB63" s="351">
        <f t="shared" si="45"/>
        <v>509.4787333333332</v>
      </c>
      <c r="AC63" s="351">
        <f t="shared" si="45"/>
        <v>508.85464444444426</v>
      </c>
    </row>
    <row r="64" spans="1:29" x14ac:dyDescent="0.25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 x14ac:dyDescent="0.25">
      <c r="A65" t="s">
        <v>16</v>
      </c>
    </row>
    <row r="66" spans="1:29" x14ac:dyDescent="0.25">
      <c r="A66" t="s">
        <v>376</v>
      </c>
      <c r="B66">
        <f t="shared" ref="B66:U66" si="46">B46/B23</f>
        <v>0.28676380893782388</v>
      </c>
      <c r="C66">
        <f t="shared" si="46"/>
        <v>0.2051008</v>
      </c>
      <c r="D66">
        <f t="shared" si="46"/>
        <v>3.2796571906354523E-2</v>
      </c>
      <c r="E66">
        <f t="shared" si="46"/>
        <v>9.7273605362379528E-2</v>
      </c>
      <c r="F66">
        <f t="shared" si="46"/>
        <v>0.27004628777292577</v>
      </c>
      <c r="G66">
        <f t="shared" si="46"/>
        <v>0.67047694765672539</v>
      </c>
      <c r="H66">
        <f t="shared" si="46"/>
        <v>0.14829004343598054</v>
      </c>
      <c r="I66">
        <f t="shared" si="46"/>
        <v>7.7163602133333439E-2</v>
      </c>
      <c r="J66">
        <f t="shared" si="46"/>
        <v>0.23524658536585369</v>
      </c>
      <c r="K66">
        <f t="shared" si="46"/>
        <v>0.64943730006397937</v>
      </c>
      <c r="L66">
        <f t="shared" si="46"/>
        <v>0.20785558155080219</v>
      </c>
      <c r="M66">
        <f t="shared" si="46"/>
        <v>0.32497307443365697</v>
      </c>
      <c r="N66">
        <f t="shared" si="46"/>
        <v>0.29563176403857061</v>
      </c>
      <c r="O66">
        <f t="shared" si="46"/>
        <v>1.4600517214700195</v>
      </c>
      <c r="P66">
        <f t="shared" si="46"/>
        <v>5.5975283979631807E-2</v>
      </c>
      <c r="Q66">
        <f t="shared" si="46"/>
        <v>3.6762537993920964E-2</v>
      </c>
      <c r="R66">
        <f t="shared" si="46"/>
        <v>0.86571737606409627</v>
      </c>
      <c r="S66">
        <f t="shared" si="46"/>
        <v>0.68993547455792126</v>
      </c>
      <c r="T66">
        <f t="shared" si="46"/>
        <v>0.2896392710476709</v>
      </c>
      <c r="U66">
        <f t="shared" si="46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0.3543228280284178</v>
      </c>
      <c r="AA66">
        <f>$AC$43*AA67</f>
        <v>0.65160611507163946</v>
      </c>
      <c r="AB66">
        <f>$AC$43*AB67</f>
        <v>0.19456867188218882</v>
      </c>
      <c r="AC66">
        <f>$AC$43*AC67</f>
        <v>0.24286345644632557</v>
      </c>
    </row>
    <row r="67" spans="1:29" x14ac:dyDescent="0.25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 x14ac:dyDescent="0.25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 x14ac:dyDescent="0.25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 x14ac:dyDescent="0.25">
      <c r="A70" t="s">
        <v>381</v>
      </c>
      <c r="B70" s="33">
        <f>B23</f>
        <v>303.03684527653093</v>
      </c>
      <c r="C70" s="33">
        <f t="shared" ref="C70:Y70" si="47">C23</f>
        <v>312.04168876961961</v>
      </c>
      <c r="D70" s="33">
        <f t="shared" si="47"/>
        <v>365.89189974684314</v>
      </c>
      <c r="E70" s="33">
        <f t="shared" si="47"/>
        <v>310.46448712879527</v>
      </c>
      <c r="F70" s="33">
        <f t="shared" si="47"/>
        <v>258.84451357012142</v>
      </c>
      <c r="G70" s="33">
        <f t="shared" si="47"/>
        <v>246.09347208232077</v>
      </c>
      <c r="H70" s="33">
        <f t="shared" si="47"/>
        <v>235.34958377071993</v>
      </c>
      <c r="I70" s="33">
        <f t="shared" si="47"/>
        <v>263.07740228252948</v>
      </c>
      <c r="J70" s="33">
        <f t="shared" si="47"/>
        <v>235.07248750921448</v>
      </c>
      <c r="K70" s="33">
        <f t="shared" si="47"/>
        <v>222.80826799714899</v>
      </c>
      <c r="L70" s="33">
        <f t="shared" si="47"/>
        <v>224.67522715326271</v>
      </c>
      <c r="M70" s="33">
        <f t="shared" si="47"/>
        <v>196.01623953311338</v>
      </c>
      <c r="N70" s="33">
        <f t="shared" si="47"/>
        <v>190.10135863704983</v>
      </c>
      <c r="O70" s="33">
        <f t="shared" si="47"/>
        <v>195.4040365862877</v>
      </c>
      <c r="P70" s="33">
        <f t="shared" si="47"/>
        <v>180.43677998445119</v>
      </c>
      <c r="Q70" s="33">
        <f t="shared" si="47"/>
        <v>176.81042590353357</v>
      </c>
      <c r="R70" s="33">
        <f t="shared" si="47"/>
        <v>169.10830722330425</v>
      </c>
      <c r="S70" s="33">
        <f t="shared" si="47"/>
        <v>180.88648084078596</v>
      </c>
      <c r="T70" s="33">
        <f t="shared" si="47"/>
        <v>175.11973060883739</v>
      </c>
      <c r="U70" s="33">
        <f t="shared" si="47"/>
        <v>177.6939424172167</v>
      </c>
      <c r="V70" s="33">
        <f t="shared" si="47"/>
        <v>185.28031029770219</v>
      </c>
      <c r="W70" s="33">
        <f t="shared" si="47"/>
        <v>193.62531496623626</v>
      </c>
      <c r="X70" s="33">
        <f t="shared" si="47"/>
        <v>199.53830516231471</v>
      </c>
      <c r="Y70" s="33">
        <f t="shared" si="47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J59"/>
  <sheetViews>
    <sheetView workbookViewId="0">
      <pane xSplit="1" ySplit="1" topLeftCell="F34" activePane="bottomRight" state="frozen"/>
      <selection activeCell="AA29" sqref="AA29"/>
      <selection pane="topRight" activeCell="AA29" sqref="AA29"/>
      <selection pane="bottomLeft" activeCell="AA29" sqref="AA29"/>
      <selection pane="bottomRight" activeCell="F51" sqref="F51"/>
    </sheetView>
  </sheetViews>
  <sheetFormatPr defaultRowHeight="13.2" outlineLevelCol="1" x14ac:dyDescent="0.25"/>
  <cols>
    <col min="1" max="1" width="70" bestFit="1" customWidth="1"/>
    <col min="2" max="5" width="8.88671875" hidden="1" customWidth="1" outlineLevel="1"/>
    <col min="6" max="6" width="8.88671875" collapsed="1"/>
  </cols>
  <sheetData>
    <row r="1" spans="1:36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 x14ac:dyDescent="0.25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>EBITDA_bad!T57*1000-SUM(T4:T5,T9,T12)</f>
        <v>10866.279046876982</v>
      </c>
      <c r="U2" s="353">
        <f>EBITDA_bad!U57*1000-SUM(U4:U5,U9,U12)</f>
        <v>7493.5248053373871</v>
      </c>
      <c r="V2" s="353">
        <f>EBITDA_bad!V57*1000-SUM(V4:V5,V9,V12)</f>
        <v>19223.118710233903</v>
      </c>
      <c r="W2" s="353">
        <f>EBITDA_bad!W57*1000-SUM(W4:W5,W9,W12)</f>
        <v>88354.217997694301</v>
      </c>
      <c r="X2" s="353">
        <f>EBITDA_bad!X57*1000-SUM(X4:X5,X9,X12)</f>
        <v>2383.9171142717169</v>
      </c>
      <c r="Y2" s="353">
        <f>EBITDA_bad!Y57*1000-SUM(Y4:Y5,Y9,Y12)</f>
        <v>5196.1527838323018</v>
      </c>
      <c r="Z2" s="353">
        <f>EBITDA_bad!Z57*1000-SUM(Z4:Z5,Z9,Z12)</f>
        <v>-31656.658204566134</v>
      </c>
      <c r="AA2" s="353">
        <f>EBITDA_bad!AA57*1000-SUM(AA4:AA5,AA9,AA12)</f>
        <v>-590.27409015256126</v>
      </c>
      <c r="AB2" s="353">
        <f>EBITDA_bad!AB57*1000-SUM(AB4:AB5,AB9,AB12)</f>
        <v>-29644.373895716602</v>
      </c>
      <c r="AC2" s="353">
        <f>EBITDA_bad!AC57*1000-SUM(AC4:AC5,AC9,AC12)</f>
        <v>-35918.355216484837</v>
      </c>
      <c r="AD2" s="311"/>
      <c r="AE2" s="311"/>
      <c r="AF2" s="311"/>
      <c r="AG2" s="311"/>
      <c r="AH2" s="311"/>
      <c r="AI2" s="311"/>
      <c r="AJ2" s="311"/>
    </row>
    <row r="3" spans="1:36" x14ac:dyDescent="0.25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 x14ac:dyDescent="0.25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>SUM(BS_bad!S15:S18)*T57/4</f>
        <v>13577.025</v>
      </c>
      <c r="U4" s="360">
        <f>SUM(BS_bad!T15:T18)*U57/4</f>
        <v>12950.34328125</v>
      </c>
      <c r="V4" s="360">
        <f>SUM(BS_bad!U15:U18)*V57/4</f>
        <v>13270.024344726562</v>
      </c>
      <c r="W4" s="360">
        <f>SUM(BS_bad!V15:V18)*W57/4</f>
        <v>17521.211388262938</v>
      </c>
      <c r="X4" s="360">
        <f>SUM(BS_bad!W15:W18)*X57/4</f>
        <v>17755.18867473301</v>
      </c>
      <c r="Y4" s="360">
        <f>SUM(BS_bad!X15:X18)*Y57/4</f>
        <v>17984.778887081764</v>
      </c>
      <c r="Z4" s="360">
        <f>SUM(BS_bad!Y15:Y18)*Z57/4</f>
        <v>18210.064282948981</v>
      </c>
      <c r="AA4" s="360">
        <f>SUM(BS_bad!Z15:Z18)*AA57/4</f>
        <v>18056.125577643688</v>
      </c>
      <c r="AB4" s="360">
        <f>SUM(BS_bad!AA15:AA18)*AB57/4</f>
        <v>17905.073223062867</v>
      </c>
      <c r="AC4" s="360">
        <f>SUM(BS_bad!AB15:AB18)*AC57/4</f>
        <v>17756.853100130436</v>
      </c>
    </row>
    <row r="5" spans="1:36" x14ac:dyDescent="0.25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>SUM(BS_bad!S29:T31,BS_bad!S34:T35)*T56/4</f>
        <v>26572.183983819988</v>
      </c>
      <c r="U5" s="360">
        <f>SUM(BS_bad!T29:U31,BS_bad!T34:U35)*U56/4</f>
        <v>24402.794782091798</v>
      </c>
      <c r="V5" s="360">
        <f>SUM(BS_bad!U29:V31,BS_bad!U34:V35)*V56/4</f>
        <v>27245.025187751908</v>
      </c>
      <c r="W5" s="360">
        <f>SUM(BS_bad!V29:W31,BS_bad!V34:W35)*W56/4</f>
        <v>27245.025187751908</v>
      </c>
      <c r="X5" s="360">
        <f>SUM(BS_bad!W29:X31,BS_bad!W34:X35)*X56/4</f>
        <v>24402.794782091798</v>
      </c>
      <c r="Y5" s="360">
        <f>SUM(BS_bad!X29:Y31,BS_bad!X34:Y35)*Y56/4</f>
        <v>24402.794782091798</v>
      </c>
      <c r="Z5" s="360">
        <f>SUM(BS_bad!Y29:Z31,BS_bad!Y34:Z35)*Z56/4</f>
        <v>27245.025187751908</v>
      </c>
      <c r="AA5" s="360">
        <f>SUM(BS_bad!Z29:AA31,BS_bad!Z34:AA35)*AA56/4</f>
        <v>27245.025187751908</v>
      </c>
      <c r="AB5" s="360">
        <f>SUM(BS_bad!AA29:AB31,BS_bad!AA34:AB35)*AB56/4</f>
        <v>24402.794782091798</v>
      </c>
      <c r="AC5" s="360">
        <f>SUM(BS_bad!AB29:AC31,BS_bad!AB34:AC35)*AC56/4</f>
        <v>24402.794782091798</v>
      </c>
    </row>
    <row r="6" spans="1:36" x14ac:dyDescent="0.25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 x14ac:dyDescent="0.25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 x14ac:dyDescent="0.25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 x14ac:dyDescent="0.25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 x14ac:dyDescent="0.25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 x14ac:dyDescent="0.25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 x14ac:dyDescent="0.25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 x14ac:dyDescent="0.25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 x14ac:dyDescent="0.25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 x14ac:dyDescent="0.25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 x14ac:dyDescent="0.25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59738.168242712374</v>
      </c>
      <c r="W16" s="354">
        <f t="shared" si="0"/>
        <v>133120.45457370914</v>
      </c>
      <c r="X16" s="354">
        <f t="shared" si="0"/>
        <v>44541.900571096528</v>
      </c>
      <c r="Y16" s="354">
        <f t="shared" si="0"/>
        <v>47583.72645300586</v>
      </c>
      <c r="Z16" s="354">
        <f t="shared" si="0"/>
        <v>13798.431266134754</v>
      </c>
      <c r="AA16" s="354">
        <f t="shared" si="0"/>
        <v>44710.876675243038</v>
      </c>
      <c r="AB16" s="354">
        <f t="shared" si="0"/>
        <v>12663.494109438063</v>
      </c>
      <c r="AC16" s="354">
        <f t="shared" si="0"/>
        <v>6241.2926657373973</v>
      </c>
    </row>
    <row r="17" spans="1:29" x14ac:dyDescent="0.25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 x14ac:dyDescent="0.25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>BS_bad!S5-BS_bad!T5</f>
        <v>37582.166666666672</v>
      </c>
      <c r="U18" s="320">
        <f>BS_bad!T5-BS_bad!U5</f>
        <v>-4996.4722222222335</v>
      </c>
      <c r="V18" s="320">
        <f>BS_bad!U5-BS_bad!V5</f>
        <v>-684.71759259258397</v>
      </c>
      <c r="W18" s="320">
        <f>BS_bad!V5-BS_bad!W5</f>
        <v>7420.1628086419805</v>
      </c>
      <c r="X18" s="320">
        <f>BS_bad!W5-BS_bad!X5</f>
        <v>-1816.3100565843633</v>
      </c>
      <c r="Y18" s="320">
        <f>BS_bad!X5-BS_bad!Y5</f>
        <v>-7689.0283993484336</v>
      </c>
      <c r="Z18" s="320">
        <f>BS_bad!Y5-BS_bad!Z5</f>
        <v>4969.3002007601754</v>
      </c>
      <c r="AA18" s="320">
        <f>BS_bad!Z5-BS_bad!AA5</f>
        <v>-466.1775435575837</v>
      </c>
      <c r="AB18" s="320">
        <f>BS_bad!AA5-BS_bad!AB5</f>
        <v>288.87156955320097</v>
      </c>
      <c r="AC18" s="320">
        <f>BS_bad!AB5-BS_bad!AC5</f>
        <v>451.13642991083907</v>
      </c>
    </row>
    <row r="19" spans="1:29" x14ac:dyDescent="0.25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>BS_bad!S6-BS_bad!T6</f>
        <v>9202</v>
      </c>
      <c r="U19" s="320">
        <f>BS_bad!T6-BS_bad!U6</f>
        <v>18372</v>
      </c>
      <c r="V19" s="320">
        <f>BS_bad!U6-BS_bad!V6</f>
        <v>-12679</v>
      </c>
      <c r="W19" s="320">
        <f>BS_bad!V6-BS_bad!W6</f>
        <v>-15586</v>
      </c>
      <c r="X19" s="320">
        <f>BS_bad!W6-BS_bad!X6</f>
        <v>9202</v>
      </c>
      <c r="Y19" s="320">
        <f>BS_bad!X6-BS_bad!Y6</f>
        <v>18372</v>
      </c>
      <c r="Z19" s="320">
        <f>BS_bad!Y6-BS_bad!Z6</f>
        <v>-12679</v>
      </c>
      <c r="AA19" s="320">
        <f>BS_bad!Z6-BS_bad!AA6</f>
        <v>-15586</v>
      </c>
      <c r="AB19" s="320">
        <f>BS_bad!AA6-BS_bad!AB6</f>
        <v>9202</v>
      </c>
      <c r="AC19" s="320">
        <f>BS_bad!AB6-BS_bad!AC6</f>
        <v>18372</v>
      </c>
    </row>
    <row r="20" spans="1:29" x14ac:dyDescent="0.25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 x14ac:dyDescent="0.25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>BS_bad!S8-BS_bad!T8</f>
        <v>59404.833333333343</v>
      </c>
      <c r="U21" s="320">
        <f>BS_bad!T8-BS_bad!U8</f>
        <v>-10349.361111111124</v>
      </c>
      <c r="V21" s="320">
        <f>BS_bad!U8-BS_bad!V8</f>
        <v>-90.08796296294895</v>
      </c>
      <c r="W21" s="320">
        <f>BS_bad!V8-BS_bad!W8</f>
        <v>2151.0640432098589</v>
      </c>
      <c r="X21" s="320">
        <f>BS_bad!W8-BS_bad!X8</f>
        <v>-3023.5919495884737</v>
      </c>
      <c r="Y21" s="320">
        <f>BS_bad!X8-BS_bad!Y8</f>
        <v>-5320.3572745198908</v>
      </c>
      <c r="Z21" s="320">
        <f>BS_bad!Y8-BS_bad!Z8</f>
        <v>7128.7498463934753</v>
      </c>
      <c r="AA21" s="320">
        <f>BS_bad!Z8-BS_bad!AA8</f>
        <v>-1583.930734763213</v>
      </c>
      <c r="AB21" s="320">
        <f>BS_bad!AA8-BS_bad!AB8</f>
        <v>-123.02567203849321</v>
      </c>
      <c r="AC21" s="320">
        <f>BS_bad!AB8-BS_bad!AC8</f>
        <v>-128.51529021782335</v>
      </c>
    </row>
    <row r="22" spans="1:29" x14ac:dyDescent="0.25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>BS_bad!S10-BS_bad!T10</f>
        <v>121.96098432164945</v>
      </c>
      <c r="U22" s="320">
        <f>BS_bad!T10-BS_bad!U10</f>
        <v>-1322.595382698124</v>
      </c>
      <c r="V22" s="320">
        <f>BS_bad!U10-BS_bad!V10</f>
        <v>-209017.31429925474</v>
      </c>
      <c r="W22" s="320">
        <f>BS_bad!V10-BS_bad!W10</f>
        <v>129519.96272179206</v>
      </c>
      <c r="X22" s="320">
        <f>BS_bad!W10-BS_bad!X10</f>
        <v>78297.474088157338</v>
      </c>
      <c r="Y22" s="320">
        <f>BS_bad!X10-BS_bad!Y10</f>
        <v>8069.3321021653683</v>
      </c>
      <c r="Z22" s="320">
        <f>BS_bad!Y10-BS_bad!Z10</f>
        <v>-159795.38328905555</v>
      </c>
      <c r="AA22" s="320">
        <f>BS_bad!Z10-BS_bad!AA10</f>
        <v>99019.031777822151</v>
      </c>
      <c r="AB22" s="320">
        <f>BS_bad!AA10-BS_bad!AB10</f>
        <v>59859.035718777341</v>
      </c>
      <c r="AC22" s="320">
        <f>BS_bad!AB10-BS_bad!AC10</f>
        <v>917.31579245604735</v>
      </c>
    </row>
    <row r="23" spans="1:29" x14ac:dyDescent="0.25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>BS_bad!S9-BS_bad!T9</f>
        <v>313705.98146473453</v>
      </c>
      <c r="U23" s="320">
        <f>BS_bad!T9-BS_bad!U9</f>
        <v>129580.96945953043</v>
      </c>
      <c r="V23" s="320">
        <f>BS_bad!U9-BS_bad!V9</f>
        <v>-199628.42008637625</v>
      </c>
      <c r="W23" s="320">
        <f>BS_bad!V9-BS_bad!W9</f>
        <v>-25851.835153660562</v>
      </c>
      <c r="X23" s="320">
        <f>BS_bad!W9-BS_bad!X9</f>
        <v>75851.136784005503</v>
      </c>
      <c r="Y23" s="320">
        <f>BS_bad!X9-BS_bad!Y9</f>
        <v>106122.0478151663</v>
      </c>
      <c r="Z23" s="320">
        <f>BS_bad!Y9-BS_bad!Z9</f>
        <v>-216167.66551409167</v>
      </c>
      <c r="AA23" s="320">
        <f>BS_bad!Z9-BS_bad!AA9</f>
        <v>-32569.675207574503</v>
      </c>
      <c r="AB23" s="320">
        <f>BS_bad!AA9-BS_bad!AB9</f>
        <v>111462.21225395007</v>
      </c>
      <c r="AC23" s="320">
        <f>BS_bad!AB9-BS_bad!AC9</f>
        <v>137275.1284677161</v>
      </c>
    </row>
    <row r="24" spans="1:29" x14ac:dyDescent="0.25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>BS_bad!S27-BS_bad!T27</f>
        <v>359.66666666666424</v>
      </c>
      <c r="U24" s="320">
        <f>BS_bad!T27-BS_bad!U27</f>
        <v>-365.22222222221899</v>
      </c>
      <c r="V24" s="320">
        <f>BS_bad!U27-BS_bad!V27</f>
        <v>-1249.0925925925985</v>
      </c>
      <c r="W24" s="320">
        <f>BS_bad!V27-BS_bad!W27</f>
        <v>281.058641975309</v>
      </c>
      <c r="X24" s="320">
        <f>BS_bad!W27-BS_bad!X27</f>
        <v>-124.76491769547283</v>
      </c>
      <c r="Y24" s="320">
        <f>BS_bad!X27-BS_bad!Y27</f>
        <v>602.9409293552817</v>
      </c>
      <c r="Z24" s="320">
        <f>BS_bad!Y27-BS_bad!Z27</f>
        <v>-82.568915752177418</v>
      </c>
      <c r="AA24" s="320">
        <f>BS_bad!Z27-BS_bad!AA27</f>
        <v>-156.27484615530557</v>
      </c>
      <c r="AB24" s="320">
        <f>BS_bad!AA27-BS_bad!AB27</f>
        <v>-121.45028347749758</v>
      </c>
      <c r="AC24" s="320">
        <f>BS_bad!AB27-BS_bad!AC27</f>
        <v>66.490101375020458</v>
      </c>
    </row>
    <row r="25" spans="1:29" x14ac:dyDescent="0.25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>BS_bad!S28-BS_bad!T28</f>
        <v>16395.333333333328</v>
      </c>
      <c r="U25" s="320">
        <f>BS_bad!T28-BS_bad!U28</f>
        <v>-3127.2777777777665</v>
      </c>
      <c r="V25" s="320">
        <f>BS_bad!U28-BS_bad!V28</f>
        <v>-134.49074074074451</v>
      </c>
      <c r="W25" s="320">
        <f>BS_bad!V28-BS_bad!W28</f>
        <v>853.09413580247201</v>
      </c>
      <c r="X25" s="320">
        <f>BS_bad!W28-BS_bad!X28</f>
        <v>-3260.3901748971257</v>
      </c>
      <c r="Y25" s="320">
        <f>BS_bad!X28-BS_bad!Y28</f>
        <v>525.37812928669155</v>
      </c>
      <c r="Z25" s="320">
        <f>BS_bad!Y28-BS_bad!Z28</f>
        <v>1875.2744841678068</v>
      </c>
      <c r="AA25" s="320">
        <f>BS_bad!Z28-BS_bad!AA28</f>
        <v>-544.73532402643468</v>
      </c>
      <c r="AB25" s="320">
        <f>BS_bad!AA28-BS_bad!AB28</f>
        <v>-114.31158173456788</v>
      </c>
      <c r="AC25" s="320">
        <f>BS_bad!AB28-BS_bad!AC28</f>
        <v>-110.94838856685965</v>
      </c>
    </row>
    <row r="26" spans="1:29" x14ac:dyDescent="0.25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172638.70361217816</v>
      </c>
      <c r="V26" s="320">
        <f t="shared" si="1"/>
        <v>-363744.95503180748</v>
      </c>
      <c r="W26" s="320">
        <f t="shared" si="1"/>
        <v>231907.96177147029</v>
      </c>
      <c r="X26" s="320">
        <f t="shared" si="1"/>
        <v>199667.45434449395</v>
      </c>
      <c r="Y26" s="320">
        <f t="shared" si="1"/>
        <v>168266.03975511115</v>
      </c>
      <c r="Z26" s="320">
        <f t="shared" si="1"/>
        <v>-360952.8619214432</v>
      </c>
      <c r="AA26" s="320">
        <f t="shared" si="1"/>
        <v>92823.114796988142</v>
      </c>
      <c r="AB26" s="320">
        <f t="shared" si="1"/>
        <v>193116.82611446813</v>
      </c>
      <c r="AC26" s="320">
        <f t="shared" si="1"/>
        <v>163083.89977841073</v>
      </c>
    </row>
    <row r="27" spans="1:29" x14ac:dyDescent="0.25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-27245.025187751908</v>
      </c>
      <c r="W27" s="320">
        <f t="shared" si="2"/>
        <v>-27245.025187751908</v>
      </c>
      <c r="X27" s="320">
        <f t="shared" si="2"/>
        <v>-24402.794782091798</v>
      </c>
      <c r="Y27" s="320">
        <f t="shared" si="2"/>
        <v>-24402.794782091798</v>
      </c>
      <c r="Z27" s="320">
        <f t="shared" si="2"/>
        <v>-27245.025187751908</v>
      </c>
      <c r="AA27" s="320">
        <f t="shared" si="2"/>
        <v>-27245.025187751908</v>
      </c>
      <c r="AB27" s="320">
        <f t="shared" si="2"/>
        <v>-24402.794782091798</v>
      </c>
      <c r="AC27" s="320">
        <f t="shared" si="2"/>
        <v>-24402.794782091798</v>
      </c>
    </row>
    <row r="28" spans="1:29" x14ac:dyDescent="0.25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-1038.0484103526305</v>
      </c>
      <c r="W28" s="359">
        <f t="shared" si="3"/>
        <v>-4771.1277718754918</v>
      </c>
      <c r="X28" s="359">
        <f t="shared" si="3"/>
        <v>-128.73152417067271</v>
      </c>
      <c r="Y28" s="359">
        <f t="shared" si="3"/>
        <v>-280.59225032694428</v>
      </c>
      <c r="Z28" s="359">
        <f t="shared" si="3"/>
        <v>1709.4595430465711</v>
      </c>
      <c r="AA28" s="359">
        <f t="shared" si="3"/>
        <v>31.874800868238307</v>
      </c>
      <c r="AB28" s="359">
        <f t="shared" si="3"/>
        <v>1600.7961903686964</v>
      </c>
      <c r="AC28" s="359">
        <f t="shared" si="3"/>
        <v>1939.591181690181</v>
      </c>
    </row>
    <row r="29" spans="1:29" x14ac:dyDescent="0.25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147831.25849059812</v>
      </c>
      <c r="V29" s="354">
        <f t="shared" si="4"/>
        <v>-392028.02862991201</v>
      </c>
      <c r="W29" s="354">
        <f t="shared" si="4"/>
        <v>199891.80881184287</v>
      </c>
      <c r="X29" s="354">
        <f t="shared" si="4"/>
        <v>175135.92803823148</v>
      </c>
      <c r="Y29" s="354">
        <f t="shared" si="4"/>
        <v>143582.65272269241</v>
      </c>
      <c r="Z29" s="354">
        <f t="shared" si="4"/>
        <v>-386488.42756614852</v>
      </c>
      <c r="AA29" s="354">
        <f t="shared" si="4"/>
        <v>65609.964410104483</v>
      </c>
      <c r="AB29" s="354">
        <f t="shared" si="4"/>
        <v>170314.82752274504</v>
      </c>
      <c r="AC29" s="354">
        <f t="shared" si="4"/>
        <v>140620.69617800912</v>
      </c>
    </row>
    <row r="30" spans="1:29" x14ac:dyDescent="0.25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 x14ac:dyDescent="0.25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 x14ac:dyDescent="0.25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 x14ac:dyDescent="0.25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 x14ac:dyDescent="0.25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 x14ac:dyDescent="0.25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/>
      <c r="X35" s="320"/>
      <c r="Y35" s="320"/>
      <c r="Z35" s="320"/>
      <c r="AA35" s="320"/>
      <c r="AB35" s="320"/>
      <c r="AC35" s="320"/>
    </row>
    <row r="36" spans="1:29" x14ac:dyDescent="0.25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>BS_bad!S12-BS_bad!T12</f>
        <v>0</v>
      </c>
      <c r="U36" s="320">
        <f>BS_bad!T12-BS_bad!U12</f>
        <v>0</v>
      </c>
      <c r="V36" s="320">
        <f>BS_bad!U12-BS_bad!V12</f>
        <v>0</v>
      </c>
      <c r="W36" s="320">
        <f>BS_bad!V12-BS_bad!W12</f>
        <v>0</v>
      </c>
      <c r="X36" s="320">
        <f>BS_bad!W12-BS_bad!X12</f>
        <v>0</v>
      </c>
      <c r="Y36" s="320">
        <f>BS_bad!X12-BS_bad!Y12</f>
        <v>0</v>
      </c>
      <c r="Z36" s="320">
        <f>BS_bad!Y12-BS_bad!Z12</f>
        <v>0</v>
      </c>
      <c r="AA36" s="320">
        <f>BS_bad!Z12-BS_bad!AA12</f>
        <v>0</v>
      </c>
      <c r="AB36" s="320">
        <f>BS_bad!AA12-BS_bad!AB12</f>
        <v>0</v>
      </c>
      <c r="AC36" s="320">
        <f>BS_bad!AB12-BS_bad!AC12</f>
        <v>0</v>
      </c>
    </row>
    <row r="37" spans="1:29" x14ac:dyDescent="0.25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 x14ac:dyDescent="0.25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 x14ac:dyDescent="0.25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-30000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 x14ac:dyDescent="0.25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 x14ac:dyDescent="0.25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 x14ac:dyDescent="0.25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>SUM(BS_bad!T29:T30)-SUM(BS_bad!S29:S30)</f>
        <v>-569327</v>
      </c>
      <c r="U42" s="320">
        <f>SUM(BS_bad!U29:U30)-SUM(BS_bad!T29:T30)</f>
        <v>0</v>
      </c>
      <c r="V42" s="320">
        <f>SUM(BS_bad!V29:V30)-SUM(BS_bad!U29:U30)</f>
        <v>100000</v>
      </c>
      <c r="W42" s="320">
        <f>SUM(BS_bad!W29:W30)-SUM(BS_bad!V29:V30)</f>
        <v>-100000</v>
      </c>
      <c r="X42" s="320">
        <f>SUM(BS_bad!X29:X30)-SUM(BS_bad!W29:W30)</f>
        <v>0</v>
      </c>
      <c r="Y42" s="320">
        <f>SUM(BS_bad!Y29:Y30)-SUM(BS_bad!X29:X30)</f>
        <v>0</v>
      </c>
      <c r="Z42" s="320">
        <f>SUM(BS_bad!Z29:Z30)-SUM(BS_bad!Y29:Y30)</f>
        <v>100000</v>
      </c>
      <c r="AA42" s="320">
        <f>SUM(BS_bad!AA29:AA30)-SUM(BS_bad!Z29:Z30)</f>
        <v>-100000</v>
      </c>
      <c r="AB42" s="320">
        <f>SUM(BS_bad!AB29:AB30)-SUM(BS_bad!AA29:AA30)</f>
        <v>0</v>
      </c>
      <c r="AC42" s="320">
        <f>SUM(BS_bad!AC29:AC30)-SUM(BS_bad!AB29:AB30)</f>
        <v>0</v>
      </c>
    </row>
    <row r="43" spans="1:29" x14ac:dyDescent="0.25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 x14ac:dyDescent="0.25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 x14ac:dyDescent="0.25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 x14ac:dyDescent="0.25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 x14ac:dyDescent="0.25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 x14ac:dyDescent="0.25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100000</v>
      </c>
      <c r="W48" s="354">
        <f t="shared" si="7"/>
        <v>-100000</v>
      </c>
      <c r="X48" s="354">
        <f t="shared" si="7"/>
        <v>0</v>
      </c>
      <c r="Y48" s="354">
        <f t="shared" si="7"/>
        <v>-19921</v>
      </c>
      <c r="Z48" s="354">
        <f t="shared" si="7"/>
        <v>100000</v>
      </c>
      <c r="AA48" s="354">
        <f t="shared" si="7"/>
        <v>-100000</v>
      </c>
      <c r="AB48" s="354">
        <f t="shared" si="7"/>
        <v>0</v>
      </c>
      <c r="AC48" s="354">
        <f t="shared" si="7"/>
        <v>-19921</v>
      </c>
    </row>
    <row r="49" spans="1:36" x14ac:dyDescent="0.25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 x14ac:dyDescent="0.25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97910.25849059812</v>
      </c>
      <c r="V50" s="353">
        <f t="shared" si="8"/>
        <v>-532028.02862991206</v>
      </c>
      <c r="W50" s="353">
        <f t="shared" si="8"/>
        <v>69891.808811842871</v>
      </c>
      <c r="X50" s="353">
        <f t="shared" si="8"/>
        <v>145135.92803823148</v>
      </c>
      <c r="Y50" s="353">
        <f t="shared" si="8"/>
        <v>93661.652722692408</v>
      </c>
      <c r="Z50" s="353">
        <f t="shared" si="8"/>
        <v>-296488.42756614852</v>
      </c>
      <c r="AA50" s="353">
        <f t="shared" si="8"/>
        <v>-44390.035589895517</v>
      </c>
      <c r="AB50" s="353">
        <f t="shared" si="8"/>
        <v>160314.82752274504</v>
      </c>
      <c r="AC50" s="353">
        <f t="shared" si="8"/>
        <v>110699.69617800912</v>
      </c>
      <c r="AD50" s="311"/>
      <c r="AE50" s="311"/>
      <c r="AF50" s="311"/>
      <c r="AG50" s="311"/>
      <c r="AH50" s="311"/>
      <c r="AI50" s="311"/>
      <c r="AJ50" s="311"/>
    </row>
    <row r="51" spans="1:36" x14ac:dyDescent="0.25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616816.72591799998</v>
      </c>
      <c r="W51" s="320">
        <f t="shared" si="9"/>
        <v>84788.697288087918</v>
      </c>
      <c r="X51" s="320">
        <f t="shared" si="9"/>
        <v>154680.50609993079</v>
      </c>
      <c r="Y51" s="320">
        <f t="shared" si="9"/>
        <v>299816.43413816229</v>
      </c>
      <c r="Z51" s="320">
        <f t="shared" si="9"/>
        <v>393478.0868608547</v>
      </c>
      <c r="AA51" s="320">
        <f t="shared" si="9"/>
        <v>96989.659294706187</v>
      </c>
      <c r="AB51" s="320">
        <f t="shared" si="9"/>
        <v>52599.62370481067</v>
      </c>
      <c r="AC51" s="320">
        <f t="shared" si="9"/>
        <v>212914.45122755569</v>
      </c>
    </row>
    <row r="52" spans="1:36" x14ac:dyDescent="0.25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616816.72591799998</v>
      </c>
      <c r="V52" s="320">
        <f t="shared" si="10"/>
        <v>84788.697288087918</v>
      </c>
      <c r="W52" s="320">
        <f t="shared" si="10"/>
        <v>154680.50609993079</v>
      </c>
      <c r="X52" s="320">
        <f t="shared" si="10"/>
        <v>299816.43413816229</v>
      </c>
      <c r="Y52" s="320">
        <f t="shared" si="10"/>
        <v>393478.0868608547</v>
      </c>
      <c r="Z52" s="320">
        <f t="shared" si="10"/>
        <v>96989.659294706187</v>
      </c>
      <c r="AA52" s="320">
        <f t="shared" si="10"/>
        <v>52599.62370481067</v>
      </c>
      <c r="AB52" s="320">
        <f t="shared" si="10"/>
        <v>212914.45122755569</v>
      </c>
      <c r="AC52" s="320">
        <f t="shared" si="10"/>
        <v>323614.14740556479</v>
      </c>
    </row>
    <row r="54" spans="1:36" x14ac:dyDescent="0.25">
      <c r="D54" s="316">
        <f>D2+D4+D5-EBITDA_bad!D57*1000</f>
        <v>-2398</v>
      </c>
      <c r="E54" s="316">
        <f>E2+E4+E5-EBITDA_bad!E57*1000</f>
        <v>188226</v>
      </c>
      <c r="F54" s="316">
        <f>F2+F4+F5+F9+F12-EBITDA_bad!F57*1000</f>
        <v>-3776.0000000000036</v>
      </c>
      <c r="G54" s="316">
        <f>G2+G4+G5+G9+G12-EBITDA_bad!G57*1000</f>
        <v>-21276</v>
      </c>
      <c r="H54" s="316">
        <f>H2+H4+H5+H9+H12-EBITDA_bad!H57*1000</f>
        <v>-25711.999999999993</v>
      </c>
      <c r="I54" s="316">
        <f>I2+I4+I5+I9+I12-EBITDA_bad!I57*1000</f>
        <v>-27602.999999999971</v>
      </c>
      <c r="J54" s="316">
        <f>J2+J4+J5+J9+J12-EBITDA_bad!J57*1000</f>
        <v>-9114.0000000000146</v>
      </c>
      <c r="K54" s="316">
        <f>K2+K4+K5+K9+K12-EBITDA_bad!K57*1000</f>
        <v>-11873</v>
      </c>
      <c r="L54" s="316">
        <f>L2+L4+L5+L9+L12-EBITDA_bad!L57*1000</f>
        <v>-35438.000000000015</v>
      </c>
      <c r="M54" s="316">
        <f>M2+M4+M5+M9+M12-EBITDA_bad!M57*1000</f>
        <v>-17917.999999999993</v>
      </c>
      <c r="N54" s="316">
        <f>N2+N4+N5+N9+N12-EBITDA_bad!N57*1000</f>
        <v>3145</v>
      </c>
      <c r="O54" s="316">
        <f>O2+O4+O5+O9+O12-EBITDA_bad!O57*1000</f>
        <v>9467</v>
      </c>
      <c r="P54" s="316">
        <f>P2+P4+P5+P9+P12-EBITDA_bad!P57*1000</f>
        <v>19667.999999999985</v>
      </c>
      <c r="Q54" s="316">
        <f>Q2+Q4+Q5+Q9+Q12-EBITDA_bad!Q57*1000</f>
        <v>-61193.000000000015</v>
      </c>
      <c r="R54" s="316">
        <f>R2+R4+R5+R9+R12-EBITDA_bad!R57*1000</f>
        <v>5579</v>
      </c>
      <c r="S54" s="316">
        <f>S2+S4+S5+S9+S12-EBITDA_bad!S57*1000</f>
        <v>370.00000000001455</v>
      </c>
    </row>
    <row r="56" spans="1:36" x14ac:dyDescent="0.25">
      <c r="A56" t="s">
        <v>387</v>
      </c>
      <c r="G56" s="13">
        <f>G5*2/SUM(BS_bad!F29:G31,BS_bad!F34:G35)*4</f>
        <v>8.6968458531091281E-2</v>
      </c>
      <c r="H56" s="13">
        <f>H5*2/SUM(BS_bad!G29:H31,BS_bad!G34:H35)*4</f>
        <v>7.8536878779784269E-2</v>
      </c>
      <c r="I56" s="13">
        <f>I5*2/SUM(BS_bad!H29:I31,BS_bad!H34:I35)*4</f>
        <v>8.4503311709976853E-2</v>
      </c>
      <c r="J56" s="13">
        <f>J5*2/SUM(BS_bad!I29:J31,BS_bad!I34:J35)*4</f>
        <v>0.10215408328367011</v>
      </c>
      <c r="K56" s="13">
        <f>K5*2/SUM(BS_bad!J29:K31,BS_bad!J34:K35)*4</f>
        <v>0.1014430632947564</v>
      </c>
      <c r="L56" s="13">
        <f>L5*2/SUM(BS_bad!K29:L31,BS_bad!K34:L35)*4</f>
        <v>0.10315769144107896</v>
      </c>
      <c r="M56" s="13">
        <f>M5*2/SUM(BS_bad!L29:M31,BS_bad!L34:M35)*4</f>
        <v>9.7962658720392698E-2</v>
      </c>
      <c r="N56" s="13">
        <f>N5*2/SUM(BS_bad!M29:N31,BS_bad!M34:N35)*4</f>
        <v>9.7727277668703927E-2</v>
      </c>
      <c r="O56" s="13">
        <f>O5*2/SUM(BS_bad!N29:O31,BS_bad!N34:O35)*4</f>
        <v>0.14103418233997847</v>
      </c>
      <c r="P56" s="13">
        <f>P5*2/SUM(BS_bad!O29:P31,BS_bad!O34:P35)*4</f>
        <v>0.1178298241463607</v>
      </c>
      <c r="Q56" s="13">
        <f>Q5*2/SUM(BS_bad!P29:Q31,BS_bad!P34:Q35)*4</f>
        <v>0.14828041561185512</v>
      </c>
      <c r="R56" s="13">
        <f>R5*2/SUM(BS_bad!Q29:R31,BS_bad!Q34:R35)*4</f>
        <v>0.11870667234311194</v>
      </c>
      <c r="S56" s="13">
        <f>S5*2/SUM(BS_bad!R29:S31,BS_bad!R34:S35)*4</f>
        <v>0.11368921622640416</v>
      </c>
      <c r="T56" s="13">
        <f>($T$41*0.0875+(SUM(BS_bad!S29:T31,BS_bad!S34:T35)/2-$T$41)*$S$56)/SUM(BS_bad!S29:T31,BS_bad!S34:T35)*2</f>
        <v>9.1467442947508609E-2</v>
      </c>
      <c r="U56" s="13">
        <f>($T$41*0.0875+(SUM(BS_bad!T29:U31,BS_bad!T34:U35)/2-$T$41)*$S$56)/SUM(BS_bad!T29:U31,BS_bad!T34:U35)*2</f>
        <v>8.9905222681859645E-2</v>
      </c>
      <c r="V56" s="13">
        <f>($T$41*0.0875+(SUM(BS_bad!U29:V31,BS_bad!U34:V35)/2-$T$41)*$S$56)/SUM(BS_bad!U29:V31,BS_bad!U34:V35)*2</f>
        <v>9.1911105522258049E-2</v>
      </c>
      <c r="W56" s="13">
        <f>($T$41*0.0875+(SUM(BS_bad!V29:W31,BS_bad!V34:W35)/2-$T$41)*$S$56)/SUM(BS_bad!V29:W31,BS_bad!V34:W35)*2</f>
        <v>9.1911105522258049E-2</v>
      </c>
      <c r="X56" s="13">
        <f>($T$41*0.0875+(SUM(BS_bad!W29:X31,BS_bad!W34:X35)/2-$T$41)*$S$56)/SUM(BS_bad!W29:X31,BS_bad!W34:X35)*2</f>
        <v>8.9905222681859645E-2</v>
      </c>
      <c r="Y56" s="13">
        <f>($T$41*0.0875+(SUM(BS_bad!X29:Y31,BS_bad!X34:Y35)/2-$T$41)*$S$56)/SUM(BS_bad!X29:Y31,BS_bad!X34:Y35)*2</f>
        <v>8.9905222681859645E-2</v>
      </c>
      <c r="Z56" s="13">
        <f>($T$41*0.0875+(SUM(BS_bad!Y29:Z31,BS_bad!Y34:Z35)/2-$T$41)*$S$56)/SUM(BS_bad!Y29:Z31,BS_bad!Y34:Z35)*2</f>
        <v>9.1911105522258049E-2</v>
      </c>
      <c r="AA56" s="13">
        <f>($T$41*0.0875+(SUM(BS_bad!Z29:AA31,BS_bad!Z34:AA35)/2-$T$41)*$S$56)/SUM(BS_bad!Z29:AA31,BS_bad!Z34:AA35)*2</f>
        <v>9.1911105522258049E-2</v>
      </c>
      <c r="AB56" s="13">
        <f>($T$41*0.0875+(SUM(BS_bad!AA29:AB31,BS_bad!AA34:AB35)/2-$T$41)*$S$56)/SUM(BS_bad!AA29:AB31,BS_bad!AA34:AB35)*2</f>
        <v>8.9905222681859645E-2</v>
      </c>
      <c r="AC56" s="13">
        <f>($T$41*0.0875+(SUM(BS_bad!AB29:AC31,BS_bad!AB34:AC35)/2-$T$41)*$S$56)/SUM(BS_bad!AB29:AC31,BS_bad!AB34:AC35)*2</f>
        <v>8.9905222681859645E-2</v>
      </c>
    </row>
    <row r="57" spans="1:36" x14ac:dyDescent="0.25">
      <c r="A57" t="s">
        <v>388</v>
      </c>
      <c r="G57" s="13">
        <f>G4/SUM(BS_bad!F15:F18)*4</f>
        <v>8.8787309326696803E-2</v>
      </c>
      <c r="H57" s="13">
        <f>H4/SUM(BS_bad!G15:G18)*4</f>
        <v>7.139797529960118E-2</v>
      </c>
      <c r="I57" s="13">
        <f>I4/SUM(BS_bad!H15:H18)*4</f>
        <v>8.7011649100562638E-2</v>
      </c>
      <c r="J57" s="13">
        <f>J4/SUM(BS_bad!I15:I18)*4</f>
        <v>8.2437213481855176E-2</v>
      </c>
      <c r="K57" s="13">
        <f>K4/SUM(BS_bad!J15:J18)*4</f>
        <v>7.8117630251200429E-2</v>
      </c>
      <c r="L57" s="13">
        <f>L4/SUM(BS_bad!K15:K18)*4</f>
        <v>7.0456379510024272E-2</v>
      </c>
      <c r="M57" s="13">
        <f>M4/SUM(BS_bad!L15:L18)*4</f>
        <v>7.0346565847511033E-2</v>
      </c>
      <c r="N57" s="13">
        <f>N4/SUM(BS_bad!M15:M18)*4</f>
        <v>8.1373621484687811E-2</v>
      </c>
      <c r="O57" s="13">
        <f>O4/SUM(BS_bad!N15:N18)*4</f>
        <v>8.2050205206276386E-2</v>
      </c>
      <c r="P57" s="13">
        <f>P4/SUM(BS_bad!O15:O18)*4</f>
        <v>8.1418543259967238E-2</v>
      </c>
      <c r="Q57" s="13">
        <f>Q4/SUM(BS_bad!P15:P18)*4</f>
        <v>7.9063164419443208E-2</v>
      </c>
      <c r="R57" s="13">
        <f>R4/SUM(BS_bad!Q15:Q18)*4</f>
        <v>7.3951938443642257E-2</v>
      </c>
      <c r="S57" s="13">
        <f>S4/SUM(BS_bad!R15:R18)*4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 x14ac:dyDescent="0.25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18185.07029988127</v>
      </c>
      <c r="W58" s="362">
        <f t="shared" si="11"/>
        <v>83583.090225818814</v>
      </c>
      <c r="X58" s="362">
        <f t="shared" si="11"/>
        <v>2255.185590101044</v>
      </c>
      <c r="Y58" s="362">
        <f t="shared" si="11"/>
        <v>4915.5605335053579</v>
      </c>
      <c r="Z58" s="362">
        <f t="shared" si="11"/>
        <v>-29947.198661519564</v>
      </c>
      <c r="AA58" s="362">
        <f t="shared" si="11"/>
        <v>-558.399289284323</v>
      </c>
      <c r="AB58" s="362">
        <f t="shared" si="11"/>
        <v>-28043.577705347907</v>
      </c>
      <c r="AC58" s="362">
        <f t="shared" si="11"/>
        <v>-33978.764034794658</v>
      </c>
    </row>
    <row r="59" spans="1:36" x14ac:dyDescent="0.25">
      <c r="Q59" s="316">
        <f>SUM(N58:Q58)</f>
        <v>228853</v>
      </c>
      <c r="U59" s="316">
        <f>SUM(R58:U58)</f>
        <v>182243.37444419478</v>
      </c>
      <c r="Y59" s="316">
        <f>SUM(V58:Y58)</f>
        <v>108938.90664930647</v>
      </c>
      <c r="AC59" s="316">
        <f>SUM(Z58:AC58)</f>
        <v>-92527.939690946456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8"/>
  <sheetViews>
    <sheetView workbookViewId="0">
      <pane xSplit="1" ySplit="1" topLeftCell="P25" activePane="bottomRight" state="frozen"/>
      <selection activeCell="AA29" sqref="AA29"/>
      <selection pane="topRight" activeCell="AA29" sqref="AA29"/>
      <selection pane="bottomLeft" activeCell="AA29" sqref="AA29"/>
      <selection pane="bottomRight" activeCell="S57" sqref="S57"/>
    </sheetView>
  </sheetViews>
  <sheetFormatPr defaultRowHeight="13.2" outlineLevelCol="1" x14ac:dyDescent="0.25"/>
  <cols>
    <col min="1" max="1" width="55.88671875" bestFit="1" customWidth="1"/>
    <col min="2" max="3" width="8.88671875" customWidth="1" outlineLevel="1"/>
    <col min="4" max="5" width="10.109375" customWidth="1" outlineLevel="1"/>
    <col min="6" max="19" width="10.109375" bestFit="1" customWidth="1"/>
    <col min="20" max="20" width="9.109375" bestFit="1" customWidth="1"/>
  </cols>
  <sheetData>
    <row r="1" spans="1:29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30" t="s">
        <v>284</v>
      </c>
    </row>
    <row r="3" spans="1:29" x14ac:dyDescent="0.25">
      <c r="A3" s="30" t="s">
        <v>285</v>
      </c>
    </row>
    <row r="4" spans="1:29" x14ac:dyDescent="0.25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>CF_bad!T52</f>
        <v>518906.46742740186</v>
      </c>
      <c r="U4" s="357">
        <f>CF_bad!U52</f>
        <v>616816.72591799998</v>
      </c>
      <c r="V4" s="357">
        <f>CF_bad!V52</f>
        <v>84788.697288087918</v>
      </c>
      <c r="W4" s="357">
        <f>CF_bad!W52</f>
        <v>154680.50609993079</v>
      </c>
      <c r="X4" s="357">
        <f>CF_bad!X52</f>
        <v>299816.43413816229</v>
      </c>
      <c r="Y4" s="357">
        <f>CF_bad!Y52</f>
        <v>393478.0868608547</v>
      </c>
      <c r="Z4" s="357">
        <f>CF_bad!Z52</f>
        <v>96989.659294706187</v>
      </c>
      <c r="AA4" s="357">
        <f>CF_bad!AA52</f>
        <v>52599.62370481067</v>
      </c>
      <c r="AB4" s="357">
        <f>CF_bad!AB52</f>
        <v>212914.45122755569</v>
      </c>
      <c r="AC4" s="357">
        <f>CF_bad!AC52</f>
        <v>323614.14740556479</v>
      </c>
    </row>
    <row r="5" spans="1:29" x14ac:dyDescent="0.25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 x14ac:dyDescent="0.25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 x14ac:dyDescent="0.25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 x14ac:dyDescent="0.25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 x14ac:dyDescent="0.25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>'bio &amp; inventory'!Q16</f>
        <v>302390.01853526547</v>
      </c>
      <c r="U9" s="360">
        <f>'bio &amp; inventory'!R16</f>
        <v>172809.04907573503</v>
      </c>
      <c r="V9" s="360">
        <f>'bio &amp; inventory'!S16</f>
        <v>372437.46916211129</v>
      </c>
      <c r="W9" s="360">
        <f>'bio &amp; inventory'!T16</f>
        <v>398289.30431577185</v>
      </c>
      <c r="X9" s="360">
        <f>'bio &amp; inventory'!U16</f>
        <v>322438.16753176635</v>
      </c>
      <c r="Y9" s="360">
        <f>'bio &amp; inventory'!V16</f>
        <v>216316.11971660005</v>
      </c>
      <c r="Z9" s="360">
        <f>'bio &amp; inventory'!W16</f>
        <v>432483.78523069172</v>
      </c>
      <c r="AA9" s="360">
        <f>'bio &amp; inventory'!X16</f>
        <v>465053.46043826622</v>
      </c>
      <c r="AB9" s="360">
        <f>'bio &amp; inventory'!Y16</f>
        <v>353591.24818431615</v>
      </c>
      <c r="AC9" s="360">
        <f>'bio &amp; inventory'!Z16</f>
        <v>216316.11971660005</v>
      </c>
    </row>
    <row r="10" spans="1:29" x14ac:dyDescent="0.25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>'bio &amp; inventory'!Q14</f>
        <v>27848.039015678351</v>
      </c>
      <c r="U10" s="360">
        <f>'bio &amp; inventory'!R14</f>
        <v>29170.634398376475</v>
      </c>
      <c r="V10" s="360">
        <f>'bio &amp; inventory'!S14</f>
        <v>238187.94869763122</v>
      </c>
      <c r="W10" s="360">
        <f>'bio &amp; inventory'!T14</f>
        <v>108667.98597583915</v>
      </c>
      <c r="X10" s="360">
        <f>'bio &amp; inventory'!U14</f>
        <v>30370.511887681812</v>
      </c>
      <c r="Y10" s="360">
        <f>'bio &amp; inventory'!V14</f>
        <v>22301.179785516444</v>
      </c>
      <c r="Z10" s="360">
        <f>'bio &amp; inventory'!W14</f>
        <v>182096.56307457198</v>
      </c>
      <c r="AA10" s="360">
        <f>'bio &amp; inventory'!X14</f>
        <v>83077.531296749832</v>
      </c>
      <c r="AB10" s="360">
        <f>'bio &amp; inventory'!Y14</f>
        <v>23218.495577972491</v>
      </c>
      <c r="AC10" s="360">
        <f>'bio &amp; inventory'!Z14</f>
        <v>22301.179785516444</v>
      </c>
    </row>
    <row r="11" spans="1:29" x14ac:dyDescent="0.25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 x14ac:dyDescent="0.25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 x14ac:dyDescent="0.25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1043009.7216293119</v>
      </c>
      <c r="W13" s="320">
        <f t="shared" si="5"/>
        <v>1015125.3372866036</v>
      </c>
      <c r="X13" s="320">
        <f t="shared" si="5"/>
        <v>1001796.2446018491</v>
      </c>
      <c r="Y13" s="320">
        <f t="shared" si="5"/>
        <v>975980.53924791631</v>
      </c>
      <c r="Z13" s="320">
        <f t="shared" si="5"/>
        <v>1056249.0192990727</v>
      </c>
      <c r="AA13" s="320">
        <f t="shared" si="5"/>
        <v>962871.49019989092</v>
      </c>
      <c r="AB13" s="320">
        <f t="shared" si="5"/>
        <v>942467.41461732669</v>
      </c>
      <c r="AC13" s="320">
        <f t="shared" si="5"/>
        <v>896281.4353928304</v>
      </c>
    </row>
    <row r="14" spans="1:29" x14ac:dyDescent="0.25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 x14ac:dyDescent="0.25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>S15-CF_bad!T31-CF_bad!T4</f>
        <v>539048.97499999998</v>
      </c>
      <c r="U15" s="357">
        <f>T15-CF_bad!U31-CF_bad!U4</f>
        <v>556098.63171875</v>
      </c>
      <c r="V15" s="357">
        <f>U15-CF_bad!V31-CF_bad!V4</f>
        <v>572828.60737402341</v>
      </c>
      <c r="W15" s="357">
        <f>V15-CF_bad!W31-CF_bad!W4</f>
        <v>585307.39598576049</v>
      </c>
      <c r="X15" s="357">
        <f>W15-CF_bad!X31-CF_bad!X4</f>
        <v>597552.20731102745</v>
      </c>
      <c r="Y15" s="357">
        <f>X15-CF_bad!Y31-CF_bad!Y4</f>
        <v>609567.42842394568</v>
      </c>
      <c r="Z15" s="357">
        <f>Y15-CF_bad!Z31-CF_bad!Z4</f>
        <v>601357.36414099671</v>
      </c>
      <c r="AA15" s="357">
        <f>Z15-CF_bad!AA31-CF_bad!AA4</f>
        <v>593301.23856335296</v>
      </c>
      <c r="AB15" s="357">
        <f>AA15-CF_bad!AB31-CF_bad!AB4</f>
        <v>585396.16534029006</v>
      </c>
      <c r="AC15" s="357">
        <f>AB15-CF_bad!AC31-CF_bad!AC4</f>
        <v>577639.3122401596</v>
      </c>
    </row>
    <row r="16" spans="1:29" x14ac:dyDescent="0.25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 x14ac:dyDescent="0.25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>S17-CF_bad!T35</f>
        <v>120124</v>
      </c>
      <c r="U17" s="357">
        <f>T17-CF_bad!U35</f>
        <v>120124</v>
      </c>
      <c r="V17" s="357">
        <f>U17-CF_bad!V35</f>
        <v>330124</v>
      </c>
      <c r="W17" s="357">
        <f>V17-CF_bad!W35</f>
        <v>330124</v>
      </c>
      <c r="X17" s="357">
        <f>W17-CF_bad!X35</f>
        <v>330124</v>
      </c>
      <c r="Y17" s="357">
        <f>X17-CF_bad!Y35</f>
        <v>330124</v>
      </c>
      <c r="Z17" s="357">
        <f>Y17-CF_bad!Z35</f>
        <v>330124</v>
      </c>
      <c r="AA17" s="357">
        <f>Z17-CF_bad!AA35</f>
        <v>330124</v>
      </c>
      <c r="AB17" s="357">
        <f>AA17-CF_bad!AB35</f>
        <v>330124</v>
      </c>
      <c r="AC17" s="357">
        <f>AB17-CF_bad!AC35</f>
        <v>330124</v>
      </c>
    </row>
    <row r="18" spans="1:29" x14ac:dyDescent="0.25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 x14ac:dyDescent="0.25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 x14ac:dyDescent="0.25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 x14ac:dyDescent="0.25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 x14ac:dyDescent="0.25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8" thickBot="1" x14ac:dyDescent="0.3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988867.09583143948</v>
      </c>
      <c r="X23" s="320">
        <f t="shared" si="9"/>
        <v>1001554.8571309863</v>
      </c>
      <c r="Y23" s="320">
        <f t="shared" si="9"/>
        <v>1013160.0198805644</v>
      </c>
      <c r="Z23" s="320">
        <f t="shared" si="9"/>
        <v>1005044.5541737186</v>
      </c>
      <c r="AA23" s="320">
        <f t="shared" si="9"/>
        <v>996956.76582375052</v>
      </c>
      <c r="AB23" s="320">
        <f t="shared" si="9"/>
        <v>988918.30362556875</v>
      </c>
      <c r="AC23" s="320">
        <f t="shared" si="9"/>
        <v>981309.27835693548</v>
      </c>
    </row>
    <row r="24" spans="1:29" ht="13.8" thickBot="1" x14ac:dyDescent="0.3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2018473.5002996316</v>
      </c>
      <c r="W24" s="323">
        <f t="shared" si="10"/>
        <v>2003992.433118043</v>
      </c>
      <c r="X24" s="323">
        <f t="shared" si="10"/>
        <v>2003351.1017328354</v>
      </c>
      <c r="Y24" s="323">
        <f t="shared" si="10"/>
        <v>1989140.5591284807</v>
      </c>
      <c r="Z24" s="323">
        <f t="shared" si="10"/>
        <v>2061293.5734727914</v>
      </c>
      <c r="AA24" s="323">
        <f t="shared" si="10"/>
        <v>1959828.2560236414</v>
      </c>
      <c r="AB24" s="323">
        <f t="shared" si="10"/>
        <v>1931385.7182428953</v>
      </c>
      <c r="AC24" s="324">
        <f t="shared" si="10"/>
        <v>1877590.7137497659</v>
      </c>
    </row>
    <row r="25" spans="1:29" x14ac:dyDescent="0.25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 x14ac:dyDescent="0.25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 x14ac:dyDescent="0.25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 x14ac:dyDescent="0.25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 x14ac:dyDescent="0.25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100000</v>
      </c>
      <c r="W29" s="360">
        <v>0</v>
      </c>
      <c r="X29" s="360">
        <v>0</v>
      </c>
      <c r="Y29" s="360">
        <f>X29</f>
        <v>0</v>
      </c>
      <c r="Z29" s="360">
        <v>100000</v>
      </c>
      <c r="AA29" s="360">
        <v>0</v>
      </c>
      <c r="AB29" s="360">
        <v>0</v>
      </c>
      <c r="AC29" s="360">
        <v>0</v>
      </c>
    </row>
    <row r="30" spans="1:29" x14ac:dyDescent="0.25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 x14ac:dyDescent="0.25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 x14ac:dyDescent="0.25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240300.08333333334</v>
      </c>
      <c r="W32" s="320">
        <f t="shared" si="13"/>
        <v>139165.93055555556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239630.06102109054</v>
      </c>
      <c r="AA32" s="320">
        <f t="shared" si="13"/>
        <v>140331.07119127229</v>
      </c>
      <c r="AB32" s="320">
        <f t="shared" si="13"/>
        <v>140566.83305648435</v>
      </c>
      <c r="AC32" s="320">
        <f t="shared" si="13"/>
        <v>140611.29134367619</v>
      </c>
    </row>
    <row r="33" spans="1:29" x14ac:dyDescent="0.25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 x14ac:dyDescent="0.25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>S34+CF_bad!T41</f>
        <v>539177</v>
      </c>
      <c r="U34" s="357">
        <f>T34+CF_bad!U41</f>
        <v>539177</v>
      </c>
      <c r="V34" s="357">
        <f>U34+CF_bad!V41</f>
        <v>539177</v>
      </c>
      <c r="W34" s="357">
        <f>V34+CF_bad!W41</f>
        <v>539177</v>
      </c>
      <c r="X34" s="357">
        <f>W34+CF_bad!X41</f>
        <v>539177</v>
      </c>
      <c r="Y34" s="357">
        <f>X34+CF_bad!Y41</f>
        <v>539177</v>
      </c>
      <c r="Z34" s="357">
        <f>Y34+CF_bad!Z41</f>
        <v>539177</v>
      </c>
      <c r="AA34" s="357">
        <f>Z34+CF_bad!AA41</f>
        <v>539177</v>
      </c>
      <c r="AB34" s="357">
        <f>AA34+CF_bad!AB41</f>
        <v>539177</v>
      </c>
      <c r="AC34" s="357">
        <f>AB34+CF_bad!AC41</f>
        <v>539177</v>
      </c>
    </row>
    <row r="35" spans="1:29" x14ac:dyDescent="0.25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 x14ac:dyDescent="0.25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 x14ac:dyDescent="0.25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 x14ac:dyDescent="0.25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 x14ac:dyDescent="0.25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 x14ac:dyDescent="0.25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 x14ac:dyDescent="0.25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 x14ac:dyDescent="0.25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 x14ac:dyDescent="0.25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 x14ac:dyDescent="0.25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 x14ac:dyDescent="0.25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 x14ac:dyDescent="0.25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>S46+CF_bad!T2+CF_bad!T28+CF_bad!T45</f>
        <v>1279046.4999783456</v>
      </c>
      <c r="U46" s="357">
        <f>T46+CF_bad!U2+CF_bad!U28+CF_bad!U45</f>
        <v>1266214.3744441948</v>
      </c>
      <c r="V46" s="357">
        <f>U46+CF_bad!V2+CF_bad!V28+CF_bad!V45</f>
        <v>1284399.4447440761</v>
      </c>
      <c r="W46" s="357">
        <f>V46+CF_bad!W2+CF_bad!W28+CF_bad!W45</f>
        <v>1367982.5349698949</v>
      </c>
      <c r="X46" s="357">
        <f>W46+CF_bad!X2+CF_bad!X28+CF_bad!X45</f>
        <v>1370237.7205599961</v>
      </c>
      <c r="Y46" s="357">
        <f>X46+CF_bad!Y2+CF_bad!Y28+CF_bad!Y45</f>
        <v>1355232.2810935015</v>
      </c>
      <c r="Z46" s="357">
        <f>Y46+CF_bad!Z2+CF_bad!Z28+CF_bad!Z45</f>
        <v>1325285.0824319818</v>
      </c>
      <c r="AA46" s="357">
        <f>Z46+CF_bad!AA2+CF_bad!AA28+CF_bad!AA45</f>
        <v>1324726.6831426977</v>
      </c>
      <c r="AB46" s="357">
        <f>AA46+CF_bad!AB2+CF_bad!AB28+CF_bad!AB45</f>
        <v>1296683.1054373498</v>
      </c>
      <c r="AC46" s="357">
        <f>AB46+CF_bad!AC2+CF_bad!AC28+CF_bad!AC45</f>
        <v>1242783.3414025551</v>
      </c>
    </row>
    <row r="47" spans="1:29" x14ac:dyDescent="0.25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>SUM(T40:T46)</f>
        <v>1099045.4999783456</v>
      </c>
      <c r="U47" s="320">
        <f t="shared" ref="U47:AC47" si="20">SUM(U40:U46)</f>
        <v>1086213.3744441948</v>
      </c>
      <c r="V47" s="320">
        <f t="shared" si="20"/>
        <v>1104398.4447440761</v>
      </c>
      <c r="W47" s="320">
        <f t="shared" si="20"/>
        <v>1187981.5349698949</v>
      </c>
      <c r="X47" s="320">
        <f t="shared" si="20"/>
        <v>1190236.7205599961</v>
      </c>
      <c r="Y47" s="320">
        <f t="shared" si="20"/>
        <v>1175231.2810935015</v>
      </c>
      <c r="Z47" s="320">
        <f t="shared" si="20"/>
        <v>1145284.0824319818</v>
      </c>
      <c r="AA47" s="320">
        <f t="shared" si="20"/>
        <v>1144725.6831426977</v>
      </c>
      <c r="AB47" s="320">
        <f t="shared" si="20"/>
        <v>1116682.1054373498</v>
      </c>
      <c r="AC47" s="320">
        <f t="shared" si="20"/>
        <v>1062782.3414025551</v>
      </c>
    </row>
    <row r="48" spans="1:29" x14ac:dyDescent="0.25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8" thickBot="1" x14ac:dyDescent="0.3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>T47+T48+CF_bad!T45</f>
        <v>1102251.4999783456</v>
      </c>
      <c r="U49" s="357">
        <f t="shared" ref="U49:AC49" si="22">U47+U48</f>
        <v>1089419.3744441948</v>
      </c>
      <c r="V49" s="357">
        <f t="shared" si="22"/>
        <v>1107604.4447440761</v>
      </c>
      <c r="W49" s="357">
        <f t="shared" si="22"/>
        <v>1191187.5349698949</v>
      </c>
      <c r="X49" s="357">
        <f t="shared" si="22"/>
        <v>1193442.7205599961</v>
      </c>
      <c r="Y49" s="357">
        <f t="shared" si="22"/>
        <v>1178437.2810935015</v>
      </c>
      <c r="Z49" s="357">
        <f t="shared" si="22"/>
        <v>1148490.0824319818</v>
      </c>
      <c r="AA49" s="357">
        <f t="shared" si="22"/>
        <v>1147931.6831426977</v>
      </c>
      <c r="AB49" s="357">
        <f t="shared" si="22"/>
        <v>1119888.1054373498</v>
      </c>
      <c r="AC49" s="357">
        <f t="shared" si="22"/>
        <v>1065988.3414025551</v>
      </c>
    </row>
    <row r="50" spans="1:29" ht="13.8" thickBot="1" x14ac:dyDescent="0.3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1942560.8104848168</v>
      </c>
      <c r="W50" s="323">
        <f t="shared" si="23"/>
        <v>1925153.4616674257</v>
      </c>
      <c r="X50" s="323">
        <f t="shared" si="23"/>
        <v>1930304.6350404487</v>
      </c>
      <c r="Y50" s="323">
        <f t="shared" si="23"/>
        <v>1913163.1813206961</v>
      </c>
      <c r="Z50" s="323">
        <f t="shared" si="23"/>
        <v>1980295.4660303756</v>
      </c>
      <c r="AA50" s="323">
        <f t="shared" si="23"/>
        <v>1881439.2695630461</v>
      </c>
      <c r="AB50" s="323">
        <f t="shared" si="23"/>
        <v>1854191.9516314599</v>
      </c>
      <c r="AC50" s="323">
        <f t="shared" si="23"/>
        <v>1800183.4343388935</v>
      </c>
    </row>
    <row r="51" spans="1:29" x14ac:dyDescent="0.25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1104398.4447440761</v>
      </c>
      <c r="W51" s="357">
        <f t="shared" si="24"/>
        <v>1187981.5349698949</v>
      </c>
      <c r="X51" s="357">
        <f t="shared" si="24"/>
        <v>1190236.7205599961</v>
      </c>
      <c r="Y51" s="357">
        <f t="shared" si="24"/>
        <v>1175231.2810935015</v>
      </c>
      <c r="Z51" s="357">
        <f t="shared" si="24"/>
        <v>1145284.0824319818</v>
      </c>
      <c r="AA51" s="357">
        <f t="shared" si="24"/>
        <v>1144725.6831426977</v>
      </c>
      <c r="AB51" s="357">
        <f t="shared" si="24"/>
        <v>1116682.1054373498</v>
      </c>
      <c r="AC51" s="357">
        <f t="shared" si="24"/>
        <v>1062782.3414025551</v>
      </c>
    </row>
    <row r="52" spans="1:29" x14ac:dyDescent="0.25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 x14ac:dyDescent="0.25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13.685026173009707</v>
      </c>
      <c r="W53" s="358">
        <f t="shared" si="25"/>
        <v>14.720736412194647</v>
      </c>
      <c r="X53" s="358">
        <f t="shared" si="25"/>
        <v>14.748681284783345</v>
      </c>
      <c r="Y53" s="358">
        <f t="shared" si="25"/>
        <v>14.562743109287201</v>
      </c>
      <c r="Z53" s="358">
        <f t="shared" si="25"/>
        <v>14.191655845046993</v>
      </c>
      <c r="AA53" s="358">
        <f t="shared" si="25"/>
        <v>14.184736504545194</v>
      </c>
      <c r="AB53" s="358">
        <f t="shared" si="25"/>
        <v>13.837237740209781</v>
      </c>
      <c r="AC53" s="358">
        <f t="shared" si="25"/>
        <v>13.169345019927889</v>
      </c>
    </row>
    <row r="54" spans="1:29" x14ac:dyDescent="0.25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 x14ac:dyDescent="0.25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13.46632914561784</v>
      </c>
      <c r="W55" s="358">
        <f t="shared" si="26"/>
        <v>14.485487954963661</v>
      </c>
      <c r="X55" s="358">
        <f t="shared" si="26"/>
        <v>14.512986247437075</v>
      </c>
      <c r="Y55" s="358">
        <f t="shared" si="26"/>
        <v>14.330019504055537</v>
      </c>
      <c r="Z55" s="358">
        <f t="shared" si="26"/>
        <v>13.964862493843807</v>
      </c>
      <c r="AA55" s="358">
        <f t="shared" si="26"/>
        <v>13.958053729615674</v>
      </c>
      <c r="AB55" s="358">
        <f t="shared" si="26"/>
        <v>13.616108257310669</v>
      </c>
      <c r="AC55" s="358">
        <f t="shared" si="26"/>
        <v>12.958888965833058</v>
      </c>
    </row>
    <row r="57" spans="1:29" x14ac:dyDescent="0.25">
      <c r="Q57" s="316"/>
      <c r="R57" s="316"/>
      <c r="S57" s="316"/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78838.971450617304</v>
      </c>
      <c r="X57" s="317">
        <f t="shared" si="27"/>
        <v>73046.466692386661</v>
      </c>
      <c r="Y57" s="317">
        <f t="shared" si="27"/>
        <v>75977.377807784593</v>
      </c>
      <c r="Z57" s="317">
        <f t="shared" si="27"/>
        <v>80998.107442415785</v>
      </c>
      <c r="AA57" s="317">
        <f t="shared" si="27"/>
        <v>78388.986460595392</v>
      </c>
      <c r="AB57" s="317">
        <f t="shared" si="27"/>
        <v>77193.766611435451</v>
      </c>
      <c r="AC57" s="317">
        <f t="shared" si="27"/>
        <v>77407.279410872376</v>
      </c>
    </row>
    <row r="58" spans="1:29" x14ac:dyDescent="0.25">
      <c r="Q58" s="316"/>
      <c r="R58" s="316"/>
      <c r="S58" s="316"/>
    </row>
  </sheetData>
  <conditionalFormatting sqref="T4:AC4">
    <cfRule type="expression" dxfId="1" priority="1" stopIfTrue="1">
      <formula>T$4&lt;AVERAGE($N$4:$S$4)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70"/>
  <sheetViews>
    <sheetView zoomScaleNormal="100" workbookViewId="0">
      <pane xSplit="1" ySplit="1" topLeftCell="L19" activePane="bottomRight" state="frozen"/>
      <selection activeCell="AA29" sqref="AA29"/>
      <selection pane="topRight" activeCell="AA29" sqref="AA29"/>
      <selection pane="bottomLeft" activeCell="AA29" sqref="AA29"/>
      <selection pane="bottomRight" activeCell="Z51" sqref="Z51"/>
    </sheetView>
  </sheetViews>
  <sheetFormatPr defaultRowHeight="13.2" outlineLevelRow="1" x14ac:dyDescent="0.25"/>
  <cols>
    <col min="1" max="1" width="40" bestFit="1" customWidth="1"/>
    <col min="2" max="2" width="8" customWidth="1"/>
    <col min="3" max="4" width="7.5546875" bestFit="1" customWidth="1"/>
    <col min="5" max="5" width="8" bestFit="1" customWidth="1"/>
    <col min="6" max="15" width="7.5546875" bestFit="1" customWidth="1"/>
    <col min="16" max="17" width="8.109375" bestFit="1" customWidth="1"/>
    <col min="18" max="19" width="7.5546875" bestFit="1" customWidth="1"/>
    <col min="20" max="20" width="7" bestFit="1" customWidth="1"/>
    <col min="21" max="21" width="7.5546875" bestFit="1" customWidth="1"/>
    <col min="25" max="25" width="9" bestFit="1" customWidth="1"/>
    <col min="29" max="29" width="9" bestFit="1" customWidth="1"/>
  </cols>
  <sheetData>
    <row r="1" spans="1:29" x14ac:dyDescent="0.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</f>
        <v>0.1673</v>
      </c>
      <c r="W2" s="192">
        <f>S2</f>
        <v>0.34110000000000001</v>
      </c>
      <c r="X2" s="192">
        <f>T2</f>
        <v>0.25600930209357037</v>
      </c>
      <c r="Y2" s="193">
        <f>U2</f>
        <v>0.29091966146996634</v>
      </c>
      <c r="Z2" s="370">
        <f>V2*0.8</f>
        <v>0.13384000000000001</v>
      </c>
      <c r="AA2" s="371">
        <f>W2*0.8</f>
        <v>0.27288000000000001</v>
      </c>
      <c r="AB2" s="371">
        <f>X2*0.8</f>
        <v>0.20480744167485632</v>
      </c>
      <c r="AC2" s="372">
        <f>Y2*0.8</f>
        <v>0.23273572917597307</v>
      </c>
    </row>
    <row r="3" spans="1:29" x14ac:dyDescent="0.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164.51483672992705</v>
      </c>
      <c r="W3" s="196">
        <f t="shared" si="0"/>
        <v>338.39430373372153</v>
      </c>
      <c r="X3" s="196">
        <f t="shared" si="0"/>
        <v>256.29387155057015</v>
      </c>
      <c r="Y3" s="197">
        <f t="shared" si="0"/>
        <v>292.96146386993593</v>
      </c>
      <c r="Z3" s="341">
        <f t="shared" si="0"/>
        <v>135.56992515000991</v>
      </c>
      <c r="AA3" s="196">
        <f t="shared" si="0"/>
        <v>278.01893184776833</v>
      </c>
      <c r="AB3" s="196">
        <f t="shared" si="0"/>
        <v>209.87419053637126</v>
      </c>
      <c r="AC3" s="197">
        <f t="shared" si="0"/>
        <v>239.86814075039771</v>
      </c>
    </row>
    <row r="4" spans="1:29" x14ac:dyDescent="0.25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 x14ac:dyDescent="0.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13.569915902058215</v>
      </c>
      <c r="W5" s="196">
        <f t="shared" si="2"/>
        <v>26.586369347821432</v>
      </c>
      <c r="X5" s="196">
        <f t="shared" si="2"/>
        <v>19.469337219608555</v>
      </c>
      <c r="Y5" s="197">
        <f t="shared" si="2"/>
        <v>22.563358082887607</v>
      </c>
      <c r="Z5" s="341">
        <f t="shared" si="2"/>
        <v>10.163433245103359</v>
      </c>
      <c r="AA5" s="196">
        <f t="shared" si="2"/>
        <v>19.657445333018735</v>
      </c>
      <c r="AB5" s="196">
        <f t="shared" si="2"/>
        <v>13.981377398244513</v>
      </c>
      <c r="AC5" s="197">
        <f t="shared" si="2"/>
        <v>15.345197900733194</v>
      </c>
    </row>
    <row r="6" spans="1:29" x14ac:dyDescent="0.25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>AVERAGE(N6:S6)</f>
        <v>0.10054487933731972</v>
      </c>
      <c r="U6" s="243">
        <f>AVERAGE(O6:T6)</f>
        <v>9.5230552281611092E-2</v>
      </c>
      <c r="V6" s="373">
        <f>AVERAGE(P6:U6)-0.01</f>
        <v>8.2484450471388387E-2</v>
      </c>
      <c r="W6" s="374">
        <f t="shared" ref="W6:AC6" si="4">AVERAGE(Q6:V6)-0.01</f>
        <v>7.8566243741330616E-2</v>
      </c>
      <c r="X6" s="375">
        <f t="shared" si="4"/>
        <v>7.596489569500689E-2</v>
      </c>
      <c r="Y6" s="376">
        <f t="shared" si="4"/>
        <v>7.7018177697613169E-2</v>
      </c>
      <c r="Z6" s="373">
        <f t="shared" si="4"/>
        <v>7.4968199870711641E-2</v>
      </c>
      <c r="AA6" s="374">
        <f t="shared" si="4"/>
        <v>7.0705419959610299E-2</v>
      </c>
      <c r="AB6" s="375">
        <f t="shared" si="4"/>
        <v>6.6617897905943496E-2</v>
      </c>
      <c r="AC6" s="376">
        <f t="shared" si="4"/>
        <v>6.3973472478369348E-2</v>
      </c>
    </row>
    <row r="7" spans="1:29" ht="13.8" thickBot="1" x14ac:dyDescent="0.3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81.111272576558363</v>
      </c>
      <c r="W7" s="249">
        <f t="shared" si="5"/>
        <v>77.943035320496719</v>
      </c>
      <c r="X7" s="246">
        <f t="shared" si="5"/>
        <v>76.049335162409804</v>
      </c>
      <c r="Y7" s="247">
        <f t="shared" si="5"/>
        <v>77.558725212585813</v>
      </c>
      <c r="Z7" s="248">
        <f>Z5/Z2</f>
        <v>75.937188023784799</v>
      </c>
      <c r="AA7" s="249">
        <f>AA5/AA2</f>
        <v>72.03695885744186</v>
      </c>
      <c r="AB7" s="246">
        <f>AB5/AB2</f>
        <v>68.26596379462012</v>
      </c>
      <c r="AC7" s="247">
        <f>AC5/AC2</f>
        <v>65.934001431858292</v>
      </c>
    </row>
    <row r="8" spans="1:29" x14ac:dyDescent="0.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 x14ac:dyDescent="0.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 x14ac:dyDescent="0.25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 x14ac:dyDescent="0.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2.454295457796686</v>
      </c>
      <c r="W11" s="204">
        <f t="shared" si="10"/>
        <v>4.1031645601229272</v>
      </c>
      <c r="X11" s="204">
        <f t="shared" si="10"/>
        <v>3.0286475051605257</v>
      </c>
      <c r="Y11" s="205">
        <f t="shared" si="10"/>
        <v>2.6605652878771173</v>
      </c>
      <c r="Z11" s="346">
        <f t="shared" si="10"/>
        <v>2.4872321036861429</v>
      </c>
      <c r="AA11" s="204">
        <f t="shared" si="10"/>
        <v>4.0580222068196745</v>
      </c>
      <c r="AB11" s="204">
        <f t="shared" si="10"/>
        <v>2.7985864955460804</v>
      </c>
      <c r="AC11" s="205">
        <f t="shared" si="10"/>
        <v>2.3241005472075558</v>
      </c>
    </row>
    <row r="12" spans="1:29" x14ac:dyDescent="0.25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>AVERAGE(N12:S12)</f>
        <v>0.13582928279736931</v>
      </c>
      <c r="U12" s="243">
        <f>AVERAGE(O12:T12)</f>
        <v>0.13082522017416662</v>
      </c>
      <c r="V12" s="373">
        <f>AVERAGE(P12:U12)-0.01</f>
        <v>0.10831569804633165</v>
      </c>
      <c r="W12" s="374">
        <f t="shared" ref="W12:AC12" si="12">AVERAGE(Q12:V12)-0.01</f>
        <v>0.10601627918386658</v>
      </c>
      <c r="X12" s="375">
        <f t="shared" si="12"/>
        <v>0.10776805605158968</v>
      </c>
      <c r="Y12" s="376">
        <f t="shared" si="12"/>
        <v>0.11142324708164716</v>
      </c>
      <c r="Z12" s="373">
        <f t="shared" si="12"/>
        <v>0.10669629722249518</v>
      </c>
      <c r="AA12" s="374">
        <f t="shared" si="12"/>
        <v>0.10184079962668281</v>
      </c>
      <c r="AB12" s="375">
        <f t="shared" si="12"/>
        <v>9.7010062868768857E-2</v>
      </c>
      <c r="AC12" s="376">
        <f t="shared" si="12"/>
        <v>9.5125790339175065E-2</v>
      </c>
    </row>
    <row r="13" spans="1:29" ht="13.8" thickBot="1" x14ac:dyDescent="0.3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125.24471615618933</v>
      </c>
      <c r="W13" s="249">
        <f t="shared" si="13"/>
        <v>123.20335575675375</v>
      </c>
      <c r="X13" s="246">
        <f t="shared" si="13"/>
        <v>126.32968599739114</v>
      </c>
      <c r="Y13" s="247">
        <f t="shared" si="13"/>
        <v>131.78446731559191</v>
      </c>
      <c r="Z13" s="248">
        <f>Z11/(Z8*0.92/1000)</f>
        <v>126.92550029016856</v>
      </c>
      <c r="AA13" s="249">
        <f>AA11/(AA8*0.92/1000)</f>
        <v>121.84789234985811</v>
      </c>
      <c r="AB13" s="246">
        <f>AB11/(AB8*0.92/1000)</f>
        <v>116.73347678013684</v>
      </c>
      <c r="AC13" s="247">
        <f>AC11/(AC8*0.92/1000)</f>
        <v>115.11852537398416</v>
      </c>
    </row>
    <row r="14" spans="1:29" ht="13.8" thickBot="1" x14ac:dyDescent="0.3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8" thickBot="1" x14ac:dyDescent="0.3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8" hidden="1" outlineLevel="1" thickBot="1" x14ac:dyDescent="0.3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8" hidden="1" outlineLevel="1" thickBot="1" x14ac:dyDescent="0.3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8" hidden="1" outlineLevel="1" thickBot="1" x14ac:dyDescent="0.3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8" collapsed="1" thickBot="1" x14ac:dyDescent="0.3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0.4247636363636364</v>
      </c>
      <c r="W19" s="257">
        <f t="shared" si="15"/>
        <v>0.8509181818181818</v>
      </c>
      <c r="X19" s="254">
        <f t="shared" si="15"/>
        <v>0.6363260394239576</v>
      </c>
      <c r="Y19" s="255">
        <f t="shared" si="15"/>
        <v>0.70706459951876743</v>
      </c>
      <c r="Z19" s="256">
        <f>(Z2+Z8*0.92/1000)/0.44</f>
        <v>0.34871818181818187</v>
      </c>
      <c r="AA19" s="257">
        <f>(AA2+AA8*0.92/1000)/0.44</f>
        <v>0.69587272727272731</v>
      </c>
      <c r="AB19" s="254">
        <f>(AB2+AB8*0.92/1000)/0.44</f>
        <v>0.51995817483597107</v>
      </c>
      <c r="AC19" s="255">
        <f>(AC2+AC8*0.92/1000)/0.44</f>
        <v>0.57482838975969175</v>
      </c>
    </row>
    <row r="20" spans="1:29" ht="3.6" customHeight="1" thickBot="1" x14ac:dyDescent="0.3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 x14ac:dyDescent="0.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1.3795815</v>
      </c>
      <c r="AA21" s="208">
        <f t="shared" si="16"/>
        <v>1.8678254999999997</v>
      </c>
      <c r="AB21" s="208">
        <f t="shared" si="16"/>
        <v>1.4653028887237345</v>
      </c>
      <c r="AC21" s="209">
        <f t="shared" si="16"/>
        <v>1.1167026047128461</v>
      </c>
    </row>
    <row r="22" spans="1:29" x14ac:dyDescent="0.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288.72415537619702</v>
      </c>
      <c r="AA22" s="212">
        <f t="shared" si="17"/>
        <v>400.00725653647396</v>
      </c>
      <c r="AB22" s="212">
        <f t="shared" si="17"/>
        <v>320.94446374419005</v>
      </c>
      <c r="AC22" s="213">
        <f t="shared" si="17"/>
        <v>250.03218936472095</v>
      </c>
    </row>
    <row r="23" spans="1:29" x14ac:dyDescent="0.25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 x14ac:dyDescent="0.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5.656933226668003</v>
      </c>
      <c r="W24" s="212">
        <f t="shared" si="19"/>
        <v>5.9852862609221482</v>
      </c>
      <c r="X24" s="212">
        <f t="shared" si="19"/>
        <v>4.8059663726461386</v>
      </c>
      <c r="Y24" s="213">
        <f t="shared" si="19"/>
        <v>3.8312735009214163</v>
      </c>
      <c r="Z24" s="345">
        <f t="shared" si="19"/>
        <v>6.5702769173452484</v>
      </c>
      <c r="AA24" s="212">
        <f t="shared" si="19"/>
        <v>7.5884561354046172</v>
      </c>
      <c r="AB24" s="212">
        <f t="shared" si="19"/>
        <v>4.7917128833050588</v>
      </c>
      <c r="AC24" s="213">
        <f t="shared" si="19"/>
        <v>2.9717785895195692</v>
      </c>
    </row>
    <row r="25" spans="1:29" x14ac:dyDescent="0.25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>AVERAGE(N25:S25)</f>
        <v>4.5468920936351576E-2</v>
      </c>
      <c r="U25" s="243">
        <f>AVERAGE(O25:T25)</f>
        <v>4.3215348201504515E-2</v>
      </c>
      <c r="V25" s="373">
        <f>AVERAGE(P25:U25)-0.01</f>
        <v>3.3196758588409037E-2</v>
      </c>
      <c r="W25" s="374">
        <f t="shared" ref="W25:AC25" si="21">AVERAGE(Q25:V25)-0.01</f>
        <v>2.4824342129093742E-2</v>
      </c>
      <c r="X25" s="375">
        <f t="shared" si="21"/>
        <v>2.4655754773709682E-2</v>
      </c>
      <c r="Y25" s="376">
        <f t="shared" si="21"/>
        <v>2.5176330828049376E-2</v>
      </c>
      <c r="Z25" s="373">
        <f t="shared" si="21"/>
        <v>2.2756242576186317E-2</v>
      </c>
      <c r="AA25" s="374">
        <f t="shared" si="21"/>
        <v>1.897079618282544E-2</v>
      </c>
      <c r="AB25" s="375">
        <f t="shared" si="21"/>
        <v>1.4930037513045594E-2</v>
      </c>
      <c r="AC25" s="376">
        <f t="shared" si="21"/>
        <v>1.1885584000485025E-2</v>
      </c>
    </row>
    <row r="26" spans="1:29" ht="13.8" thickBot="1" x14ac:dyDescent="0.3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 x14ac:dyDescent="0.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85">
        <f>V27*1.5</f>
        <v>1.3795815</v>
      </c>
      <c r="AA27" s="386">
        <f>W27*1.5</f>
        <v>1.8678254999999997</v>
      </c>
      <c r="AB27" s="386">
        <f>X27*1.5</f>
        <v>1.4653028887237345</v>
      </c>
      <c r="AC27" s="387">
        <f>Y27*1.5</f>
        <v>1.1167026047128461</v>
      </c>
    </row>
    <row r="28" spans="1:29" x14ac:dyDescent="0.25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 x14ac:dyDescent="0.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13.795815000000001</v>
      </c>
      <c r="AA29" s="218">
        <f>AA27*AA30</f>
        <v>18.678254999999996</v>
      </c>
      <c r="AB29" s="218">
        <f>AB27*AB30</f>
        <v>14.653028887237344</v>
      </c>
      <c r="AC29" s="219">
        <f>AC27*AC30</f>
        <v>11.167026047128461</v>
      </c>
    </row>
    <row r="30" spans="1:29" x14ac:dyDescent="0.25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381">
        <v>10</v>
      </c>
      <c r="AA30" s="382">
        <v>10</v>
      </c>
      <c r="AB30" s="383">
        <v>10</v>
      </c>
      <c r="AC30" s="384">
        <v>10</v>
      </c>
    </row>
    <row r="31" spans="1:29" x14ac:dyDescent="0.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8.2774889999999992</v>
      </c>
      <c r="AA31" s="218">
        <f>AA27*AA33</f>
        <v>11.206952999999999</v>
      </c>
      <c r="AB31" s="218">
        <f>AB27*AB33</f>
        <v>8.7918173323424078</v>
      </c>
      <c r="AC31" s="218">
        <f>AC27*AC33</f>
        <v>6.7002156282770766</v>
      </c>
    </row>
    <row r="32" spans="1:29" x14ac:dyDescent="0.25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0.59999999999999987</v>
      </c>
      <c r="AA32" s="245">
        <f>AA31/AA29</f>
        <v>0.60000000000000009</v>
      </c>
      <c r="AB32" s="242">
        <f>AB31/AB29</f>
        <v>0.60000000000000009</v>
      </c>
      <c r="AC32" s="243">
        <f>AC31/AC29</f>
        <v>0.6</v>
      </c>
    </row>
    <row r="33" spans="1:29" ht="13.8" thickBot="1" x14ac:dyDescent="0.3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377">
        <v>6</v>
      </c>
      <c r="AA33" s="378">
        <v>6</v>
      </c>
      <c r="AB33" s="379">
        <v>6</v>
      </c>
      <c r="AC33" s="380">
        <v>6</v>
      </c>
    </row>
    <row r="34" spans="1:29" x14ac:dyDescent="0.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0.9267106567030664</v>
      </c>
      <c r="AA34" s="222">
        <f>(AA27+AA19)*AA36</f>
        <v>2.7039281022106776</v>
      </c>
      <c r="AB34" s="222">
        <f>(AB27+AB19)*AB36</f>
        <v>0.12285852958815924</v>
      </c>
      <c r="AC34" s="223">
        <f>(AC27+AC19)*AC36</f>
        <v>3.0023118122722556E-2</v>
      </c>
    </row>
    <row r="35" spans="1:29" ht="26.4" x14ac:dyDescent="0.2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 x14ac:dyDescent="0.25">
      <c r="A36" s="54" t="s">
        <v>186</v>
      </c>
      <c r="B36" s="165">
        <f>B34/(B$27+EBITDA_bad_ex!B$19)</f>
        <v>0.38187690183857892</v>
      </c>
      <c r="C36" s="161">
        <f>C34/(C$27+EBITDA_bad_ex!C$19)</f>
        <v>0.58271073426647835</v>
      </c>
      <c r="D36" s="161">
        <f>D34/(D$27+EBITDA_bad_ex!D$19)</f>
        <v>7.905643996012994E-2</v>
      </c>
      <c r="E36" s="162">
        <f>E34/(E$27+EBITDA_bad_ex!E$19)</f>
        <v>2.5073256284212624E-2</v>
      </c>
      <c r="F36" s="163">
        <f>F34/(F$27+EBITDA_bad_ex!F$19)</f>
        <v>0.5800876317270629</v>
      </c>
      <c r="G36" s="161">
        <f>G34/(G$27+EBITDA_bad_ex!G$19)</f>
        <v>1.3341142365874108</v>
      </c>
      <c r="H36" s="161">
        <f>H34/(H$27+EBITDA_bad_ex!H$19)</f>
        <v>8.759796106691016E-2</v>
      </c>
      <c r="I36" s="164">
        <f>I34/(I$27+EBITDA_bad_ex!I$19)</f>
        <v>6.3712922087494645E-3</v>
      </c>
      <c r="J36" s="165">
        <f>J34/(J$27+EBITDA_bad_ex!J$19)</f>
        <v>0.56768635612697049</v>
      </c>
      <c r="K36" s="161">
        <f>K34/(K$27+EBITDA_bad_ex!K$19)</f>
        <v>1.0414383555534064</v>
      </c>
      <c r="L36" s="161">
        <f>L34/(L$27+EBITDA_bad_ex!L$19)</f>
        <v>1.5337481162042397E-2</v>
      </c>
      <c r="M36" s="162">
        <f>M34/(M$27+EBITDA_bad_ex!M$19)</f>
        <v>1.2033621579003267E-2</v>
      </c>
      <c r="N36" s="163">
        <f>N34/(N$27+EBITDA_bad_ex!N$19)</f>
        <v>0.73974714898060934</v>
      </c>
      <c r="O36" s="161">
        <f>O34/(O$27+EBITDA_bad_ex!O$19)</f>
        <v>1.0432971729934279</v>
      </c>
      <c r="P36" s="161">
        <f>P34/(P$27+EBITDA_bad_ex!P$19)</f>
        <v>4.8732551848262237E-2</v>
      </c>
      <c r="Q36" s="164">
        <f>Q34/(Q$27+EBITDA_bad_ex!Q$19)</f>
        <v>2.3895587274622921E-2</v>
      </c>
      <c r="R36" s="165">
        <f>R34/(R$27+EBITDA_bad_ex!R$19)</f>
        <v>0.5361978981146146</v>
      </c>
      <c r="S36" s="161">
        <f>S34/(S$27+EBITDA_bad_ex!S$19)</f>
        <v>1.0546982766716377</v>
      </c>
      <c r="T36" s="242">
        <f>T34/(T$27+EBITDA_bad_ex!T$19)</f>
        <v>6.1885326742804142E-2</v>
      </c>
      <c r="U36" s="243">
        <f>U34/(U$27+EBITDA_bad_ex!U$19)</f>
        <v>1.7749079514847745E-2</v>
      </c>
      <c r="V36" s="244">
        <f>V34/(V$27+EBITDA_bad_ex!V$19)</f>
        <v>0.5361978981146146</v>
      </c>
      <c r="W36" s="245">
        <f>W34/(W$27+EBITDA_bad_ex!W$19)</f>
        <v>1.0546982766716377</v>
      </c>
      <c r="X36" s="242">
        <f>X34/(X$27+EBITDA_bad_ex!X$19)</f>
        <v>6.1885326742804142E-2</v>
      </c>
      <c r="Y36" s="243">
        <f>Y34/(Y$27+EBITDA_bad_ex!Y$19)</f>
        <v>1.7749079514847745E-2</v>
      </c>
      <c r="Z36" s="366">
        <f>V36</f>
        <v>0.5361978981146146</v>
      </c>
      <c r="AA36" s="367">
        <f>W36</f>
        <v>1.0546982766716377</v>
      </c>
      <c r="AB36" s="368">
        <f>X36</f>
        <v>6.1885326742804142E-2</v>
      </c>
      <c r="AC36" s="369">
        <f>Y36</f>
        <v>1.7749079514847745E-2</v>
      </c>
    </row>
    <row r="37" spans="1:29" x14ac:dyDescent="0.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10.797979340647663</v>
      </c>
      <c r="AA37" s="226">
        <f t="shared" si="29"/>
        <v>31.506014930421518</v>
      </c>
      <c r="AB37" s="226">
        <f t="shared" si="29"/>
        <v>5.3792632188717171</v>
      </c>
      <c r="AC37" s="227">
        <f t="shared" si="29"/>
        <v>1.3145384009948906</v>
      </c>
    </row>
    <row r="38" spans="1:29" x14ac:dyDescent="0.25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AC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381">
        <f>V38*0.8</f>
        <v>11.651942558924857</v>
      </c>
      <c r="AA38" s="382">
        <f>W38*0.8</f>
        <v>11.651942558924858</v>
      </c>
      <c r="AB38" s="383">
        <f>X38*0.8</f>
        <v>43.78420641125885</v>
      </c>
      <c r="AC38" s="384">
        <f>Y38*0.8</f>
        <v>43.78420641125885</v>
      </c>
    </row>
    <row r="39" spans="1:29" x14ac:dyDescent="0.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1"/>
        <v>7.1</v>
      </c>
      <c r="AA39" s="226">
        <f t="shared" si="31"/>
        <v>23</v>
      </c>
      <c r="AB39" s="226">
        <f t="shared" si="31"/>
        <v>3.1</v>
      </c>
      <c r="AC39" s="227">
        <f t="shared" si="31"/>
        <v>-0.30000000000000426</v>
      </c>
    </row>
    <row r="40" spans="1:29" x14ac:dyDescent="0.25">
      <c r="A40" s="54" t="s">
        <v>180</v>
      </c>
      <c r="B40" s="165">
        <f t="shared" ref="B40:Y40" si="32">B39/B37</f>
        <v>0.31182795698924726</v>
      </c>
      <c r="C40" s="161">
        <f t="shared" si="32"/>
        <v>0.4241071428571429</v>
      </c>
      <c r="D40" s="161">
        <f t="shared" si="32"/>
        <v>0.5</v>
      </c>
      <c r="E40" s="162">
        <f t="shared" si="32"/>
        <v>0.41463414634146312</v>
      </c>
      <c r="F40" s="163">
        <f t="shared" si="32"/>
        <v>0.46938775510204073</v>
      </c>
      <c r="G40" s="161">
        <f t="shared" si="32"/>
        <v>0.58579881656804733</v>
      </c>
      <c r="H40" s="161">
        <f t="shared" si="32"/>
        <v>0.61832061068702293</v>
      </c>
      <c r="I40" s="164">
        <f t="shared" si="32"/>
        <v>-3.5555555555555283</v>
      </c>
      <c r="J40" s="165">
        <f t="shared" si="32"/>
        <v>0.48913043478260876</v>
      </c>
      <c r="K40" s="161">
        <f t="shared" si="32"/>
        <v>0.5381526104417671</v>
      </c>
      <c r="L40" s="161">
        <f t="shared" si="32"/>
        <v>0.125</v>
      </c>
      <c r="M40" s="162">
        <f t="shared" si="32"/>
        <v>-5.7142857142856822E-2</v>
      </c>
      <c r="N40" s="163">
        <f t="shared" si="32"/>
        <v>0.6</v>
      </c>
      <c r="O40" s="161">
        <f t="shared" si="32"/>
        <v>0.68281938325991187</v>
      </c>
      <c r="P40" s="161">
        <f t="shared" si="32"/>
        <v>0.58490566037735847</v>
      </c>
      <c r="Q40" s="164">
        <f t="shared" si="32"/>
        <v>-0.17647058823529632</v>
      </c>
      <c r="R40" s="165">
        <f t="shared" si="32"/>
        <v>0.67619047619047612</v>
      </c>
      <c r="S40" s="161">
        <f t="shared" si="32"/>
        <v>0.71428571428571419</v>
      </c>
      <c r="T40" s="242">
        <f t="shared" si="32"/>
        <v>0.56736134288287354</v>
      </c>
      <c r="U40" s="243">
        <f t="shared" si="32"/>
        <v>-0.21276050358108059</v>
      </c>
      <c r="V40" s="244">
        <f t="shared" si="32"/>
        <v>0.67619047619047612</v>
      </c>
      <c r="W40" s="245">
        <f t="shared" si="32"/>
        <v>0.71428571428571419</v>
      </c>
      <c r="X40" s="242">
        <f t="shared" si="32"/>
        <v>0.56736134288287354</v>
      </c>
      <c r="Y40" s="243">
        <f t="shared" si="32"/>
        <v>-0.21276050358108059</v>
      </c>
      <c r="Z40" s="244">
        <f>Z39/Z37</f>
        <v>0.65753043009379764</v>
      </c>
      <c r="AA40" s="245">
        <f>AA39/AA37</f>
        <v>0.73001933284147924</v>
      </c>
      <c r="AB40" s="242">
        <f>AB39/AB37</f>
        <v>0.57628709989956861</v>
      </c>
      <c r="AC40" s="243">
        <f>AC39/AC37</f>
        <v>-0.2282169921950955</v>
      </c>
    </row>
    <row r="41" spans="1:29" ht="13.8" thickBot="1" x14ac:dyDescent="0.3">
      <c r="A41" s="55" t="s">
        <v>182</v>
      </c>
      <c r="B41" s="156">
        <f>B39/B34</f>
        <v>6.087689213035878</v>
      </c>
      <c r="C41" s="157">
        <f t="shared" ref="C41:Y41" si="33">C39/C34</f>
        <v>8.2796696732099733</v>
      </c>
      <c r="D41" s="157">
        <f t="shared" si="33"/>
        <v>65.136476426799121</v>
      </c>
      <c r="E41" s="158">
        <f t="shared" si="33"/>
        <v>54.01561459783337</v>
      </c>
      <c r="F41" s="159">
        <f t="shared" si="33"/>
        <v>11.604739971261274</v>
      </c>
      <c r="G41" s="157">
        <f t="shared" si="33"/>
        <v>14.482875912510952</v>
      </c>
      <c r="H41" s="157">
        <f t="shared" si="33"/>
        <v>63.087042594602138</v>
      </c>
      <c r="I41" s="160">
        <f t="shared" si="33"/>
        <v>-362.77212970722928</v>
      </c>
      <c r="J41" s="156">
        <f t="shared" si="33"/>
        <v>6.7309716812296028</v>
      </c>
      <c r="K41" s="157">
        <f t="shared" si="33"/>
        <v>7.4055706279516764</v>
      </c>
      <c r="L41" s="157">
        <f t="shared" si="33"/>
        <v>23.004434589800617</v>
      </c>
      <c r="M41" s="158">
        <f t="shared" si="33"/>
        <v>-10.516312955337366</v>
      </c>
      <c r="N41" s="159">
        <f t="shared" si="33"/>
        <v>6.9541959210966224</v>
      </c>
      <c r="O41" s="157">
        <f t="shared" si="33"/>
        <v>7.9140996165196524</v>
      </c>
      <c r="P41" s="157">
        <f t="shared" si="33"/>
        <v>32.01203770634492</v>
      </c>
      <c r="Q41" s="160">
        <f t="shared" si="33"/>
        <v>-9.658280826013101</v>
      </c>
      <c r="R41" s="156">
        <f t="shared" si="33"/>
        <v>9.8486657343293409</v>
      </c>
      <c r="S41" s="157">
        <f t="shared" si="33"/>
        <v>10.403520141897193</v>
      </c>
      <c r="T41" s="246">
        <f t="shared" si="33"/>
        <v>31.051832683190923</v>
      </c>
      <c r="U41" s="247">
        <f t="shared" si="33"/>
        <v>-11.644437256196762</v>
      </c>
      <c r="V41" s="248">
        <f t="shared" si="33"/>
        <v>9.8486657343293409</v>
      </c>
      <c r="W41" s="249">
        <f t="shared" si="33"/>
        <v>10.403520141897193</v>
      </c>
      <c r="X41" s="246">
        <f t="shared" si="33"/>
        <v>31.051832683190923</v>
      </c>
      <c r="Y41" s="247">
        <f t="shared" si="33"/>
        <v>-11.644437256196762</v>
      </c>
      <c r="Z41" s="248">
        <f>Z39/Z34</f>
        <v>7.6615068021980868</v>
      </c>
      <c r="AA41" s="249">
        <f>AA39/AA34</f>
        <v>8.5061433331735632</v>
      </c>
      <c r="AB41" s="246">
        <f>AB39/AB34</f>
        <v>25.232273334148463</v>
      </c>
      <c r="AC41" s="247">
        <f>AC39/AC34</f>
        <v>-9.9922998928267113</v>
      </c>
    </row>
    <row r="42" spans="1:29" ht="3.6" customHeight="1" thickBot="1" x14ac:dyDescent="0.3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 x14ac:dyDescent="0.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>Farming!M30</f>
        <v>2.1208800000000001</v>
      </c>
      <c r="V43" s="232"/>
      <c r="W43" s="233"/>
      <c r="X43" s="230"/>
      <c r="Y43" s="338">
        <f>Farming!N30</f>
        <v>2.0927949999999997</v>
      </c>
      <c r="Z43" s="232"/>
      <c r="AA43" s="233"/>
      <c r="AB43" s="230"/>
      <c r="AC43" s="343">
        <f>Farming!O30*800/700/2</f>
        <v>1.649555510204082</v>
      </c>
    </row>
    <row r="44" spans="1:29" x14ac:dyDescent="0.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 x14ac:dyDescent="0.25">
      <c r="A45" s="190" t="s">
        <v>235</v>
      </c>
      <c r="B45" s="283"/>
      <c r="C45" s="281"/>
      <c r="D45" s="281"/>
      <c r="E45" s="298">
        <f>E44*Farming!$I$31/SUM(Farming!$I$2:$I$7)*10^6/43100</f>
        <v>40.173891806081329</v>
      </c>
      <c r="F45" s="280"/>
      <c r="G45" s="281"/>
      <c r="H45" s="281"/>
      <c r="I45" s="284">
        <f>I44*Farming!$J$31/SUM(Farming!$J$2:$J$7)*10^6/43100</f>
        <v>88.367340945012629</v>
      </c>
      <c r="J45" s="280"/>
      <c r="K45" s="281"/>
      <c r="L45" s="281"/>
      <c r="M45" s="284">
        <f>M44*Farming!$K$31/SUM(Farming!$K$2:$K$7)*10^6/43100</f>
        <v>92.282113647996837</v>
      </c>
      <c r="N45" s="288"/>
      <c r="O45" s="286"/>
      <c r="P45" s="286"/>
      <c r="Q45" s="289">
        <f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 x14ac:dyDescent="0.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4">V66*V23</f>
        <v>95.18754022029475</v>
      </c>
      <c r="W46" s="234">
        <f t="shared" si="34"/>
        <v>182.9359203893255</v>
      </c>
      <c r="X46" s="234">
        <f t="shared" si="34"/>
        <v>56.292546431850859</v>
      </c>
      <c r="Y46" s="235">
        <f t="shared" si="34"/>
        <v>71.981073918057604</v>
      </c>
      <c r="Z46" s="337">
        <f t="shared" si="34"/>
        <v>84.747488798397356</v>
      </c>
      <c r="AA46" s="234">
        <f t="shared" si="34"/>
        <v>159.48089640352777</v>
      </c>
      <c r="AB46" s="234">
        <f t="shared" si="34"/>
        <v>48.70430429811821</v>
      </c>
      <c r="AC46" s="235">
        <f t="shared" si="34"/>
        <v>62.145904482597516</v>
      </c>
    </row>
    <row r="47" spans="1:29" outlineLevel="1" x14ac:dyDescent="0.25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 x14ac:dyDescent="0.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5">T46*T49</f>
        <v>22.678385837132495</v>
      </c>
      <c r="U48" s="235">
        <f t="shared" si="35"/>
        <v>22.678385837132495</v>
      </c>
      <c r="V48" s="337">
        <f t="shared" si="35"/>
        <v>42.559813656189476</v>
      </c>
      <c r="W48" s="234">
        <f t="shared" si="35"/>
        <v>81.793464404842652</v>
      </c>
      <c r="X48" s="234">
        <f t="shared" si="35"/>
        <v>25.169263548856392</v>
      </c>
      <c r="Y48" s="235">
        <f t="shared" si="35"/>
        <v>32.183845549900752</v>
      </c>
      <c r="Z48" s="337">
        <f t="shared" si="35"/>
        <v>0</v>
      </c>
      <c r="AA48" s="234">
        <f t="shared" si="35"/>
        <v>0</v>
      </c>
      <c r="AB48" s="234">
        <f t="shared" si="35"/>
        <v>0</v>
      </c>
      <c r="AC48" s="235">
        <f t="shared" si="35"/>
        <v>0</v>
      </c>
    </row>
    <row r="49" spans="1:29" ht="13.8" thickBot="1" x14ac:dyDescent="0.3">
      <c r="A49" s="54" t="s">
        <v>180</v>
      </c>
      <c r="B49" s="165">
        <f t="shared" ref="B49:S49" si="36">B48/B46</f>
        <v>0.29804372842347521</v>
      </c>
      <c r="C49" s="161">
        <f t="shared" si="36"/>
        <v>-0.1953125</v>
      </c>
      <c r="D49" s="161">
        <f t="shared" si="36"/>
        <v>-0.29166666666666669</v>
      </c>
      <c r="E49" s="162">
        <f t="shared" si="36"/>
        <v>1.9139072847682128</v>
      </c>
      <c r="F49" s="163">
        <f t="shared" si="36"/>
        <v>-9.1559370529327611E-2</v>
      </c>
      <c r="G49" s="161">
        <f t="shared" si="36"/>
        <v>-0.25575757575757579</v>
      </c>
      <c r="H49" s="161">
        <f t="shared" si="36"/>
        <v>-0.61604584527220629</v>
      </c>
      <c r="I49" s="164">
        <f t="shared" si="36"/>
        <v>1.2709359605911321</v>
      </c>
      <c r="J49" s="165">
        <f t="shared" si="36"/>
        <v>0.1934900542495479</v>
      </c>
      <c r="K49" s="161">
        <f t="shared" si="36"/>
        <v>0.30131306150656534</v>
      </c>
      <c r="L49" s="161">
        <f t="shared" si="36"/>
        <v>0.26552462526766596</v>
      </c>
      <c r="M49" s="162">
        <f t="shared" si="36"/>
        <v>0.48979591836734709</v>
      </c>
      <c r="N49" s="163">
        <f t="shared" si="36"/>
        <v>0.40213523131672596</v>
      </c>
      <c r="O49" s="161">
        <f t="shared" si="36"/>
        <v>0.39642481598317558</v>
      </c>
      <c r="P49" s="161">
        <f t="shared" si="36"/>
        <v>3.2376237623762378</v>
      </c>
      <c r="Q49" s="164">
        <f t="shared" si="36"/>
        <v>3.5538461538461572</v>
      </c>
      <c r="R49" s="165">
        <f t="shared" si="36"/>
        <v>0.53073770491803274</v>
      </c>
      <c r="S49" s="161">
        <f t="shared" si="36"/>
        <v>0.44711538461538458</v>
      </c>
      <c r="T49" s="242">
        <f t="shared" ref="T49:AC49" si="37">S49</f>
        <v>0.44711538461538458</v>
      </c>
      <c r="U49" s="243">
        <f t="shared" si="37"/>
        <v>0.44711538461538458</v>
      </c>
      <c r="V49" s="244">
        <f t="shared" si="37"/>
        <v>0.44711538461538458</v>
      </c>
      <c r="W49" s="245">
        <f t="shared" si="37"/>
        <v>0.44711538461538458</v>
      </c>
      <c r="X49" s="242">
        <f t="shared" si="37"/>
        <v>0.44711538461538458</v>
      </c>
      <c r="Y49" s="243">
        <f t="shared" si="37"/>
        <v>0.44711538461538458</v>
      </c>
      <c r="Z49" s="373">
        <f>Y49*0</f>
        <v>0</v>
      </c>
      <c r="AA49" s="245">
        <f t="shared" si="37"/>
        <v>0</v>
      </c>
      <c r="AB49" s="242">
        <f t="shared" si="37"/>
        <v>0</v>
      </c>
      <c r="AC49" s="243">
        <f t="shared" si="37"/>
        <v>0</v>
      </c>
    </row>
    <row r="50" spans="1:29" ht="13.8" hidden="1" outlineLevel="1" thickBot="1" x14ac:dyDescent="0.3">
      <c r="A50" s="55" t="s">
        <v>182</v>
      </c>
      <c r="B50" s="156" t="e">
        <f t="shared" ref="B50:S50" si="38">B48/B43</f>
        <v>#DIV/0!</v>
      </c>
      <c r="C50" s="157" t="e">
        <f t="shared" si="38"/>
        <v>#DIV/0!</v>
      </c>
      <c r="D50" s="157" t="e">
        <f t="shared" si="38"/>
        <v>#DIV/0!</v>
      </c>
      <c r="E50" s="158">
        <f t="shared" si="38"/>
        <v>94.198174706649283</v>
      </c>
      <c r="F50" s="159" t="e">
        <f t="shared" si="38"/>
        <v>#DIV/0!</v>
      </c>
      <c r="G50" s="157" t="e">
        <f t="shared" si="38"/>
        <v>#DIV/0!</v>
      </c>
      <c r="H50" s="157" t="e">
        <f t="shared" si="38"/>
        <v>#DIV/0!</v>
      </c>
      <c r="I50" s="160">
        <f t="shared" si="38"/>
        <v>18.759543372355122</v>
      </c>
      <c r="J50" s="156" t="e">
        <f t="shared" si="38"/>
        <v>#DIV/0!</v>
      </c>
      <c r="K50" s="157" t="e">
        <f t="shared" si="38"/>
        <v>#DIV/0!</v>
      </c>
      <c r="L50" s="157" t="e">
        <f t="shared" si="38"/>
        <v>#DIV/0!</v>
      </c>
      <c r="M50" s="158">
        <f t="shared" si="38"/>
        <v>17.347789824854047</v>
      </c>
      <c r="N50" s="159" t="e">
        <f t="shared" si="38"/>
        <v>#DIV/0!</v>
      </c>
      <c r="O50" s="157" t="e">
        <f t="shared" si="38"/>
        <v>#DIV/0!</v>
      </c>
      <c r="P50" s="157" t="e">
        <f t="shared" si="38"/>
        <v>#DIV/0!</v>
      </c>
      <c r="Q50" s="160">
        <f t="shared" si="38"/>
        <v>12.704174228675148</v>
      </c>
      <c r="R50" s="156" t="e">
        <f t="shared" si="38"/>
        <v>#DIV/0!</v>
      </c>
      <c r="S50" s="157" t="e">
        <f t="shared" si="38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 x14ac:dyDescent="0.3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 x14ac:dyDescent="0.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 x14ac:dyDescent="0.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 x14ac:dyDescent="0.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8" thickBot="1" x14ac:dyDescent="0.3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39">U55</f>
        <v>-20.8</v>
      </c>
      <c r="W55" s="149">
        <f t="shared" si="39"/>
        <v>-20.8</v>
      </c>
      <c r="X55" s="149">
        <f t="shared" si="39"/>
        <v>-20.8</v>
      </c>
      <c r="Y55" s="150">
        <f t="shared" si="39"/>
        <v>-20.8</v>
      </c>
      <c r="Z55" s="356">
        <f t="shared" si="39"/>
        <v>-20.8</v>
      </c>
      <c r="AA55" s="149">
        <f t="shared" si="39"/>
        <v>-20.8</v>
      </c>
      <c r="AB55" s="149">
        <f t="shared" si="39"/>
        <v>-20.8</v>
      </c>
      <c r="AC55" s="150">
        <f t="shared" si="39"/>
        <v>-20.8</v>
      </c>
    </row>
    <row r="57" spans="1:29" x14ac:dyDescent="0.25">
      <c r="A57" s="30" t="s">
        <v>212</v>
      </c>
      <c r="B57" s="85">
        <f t="shared" ref="B57:M57" si="40">SUM(B24,B31,B39,B5,B11,B48,B52,B54,B55)</f>
        <v>74.999999999999986</v>
      </c>
      <c r="C57" s="85">
        <f t="shared" si="40"/>
        <v>80.899999999999991</v>
      </c>
      <c r="D57" s="85">
        <f t="shared" si="40"/>
        <v>45</v>
      </c>
      <c r="E57" s="85">
        <f t="shared" si="40"/>
        <v>86.699999999999989</v>
      </c>
      <c r="F57" s="85">
        <f t="shared" si="40"/>
        <v>3.0000000000000036</v>
      </c>
      <c r="G57" s="85">
        <f t="shared" si="40"/>
        <v>57.5</v>
      </c>
      <c r="H57" s="85">
        <f t="shared" si="40"/>
        <v>30.099999999999994</v>
      </c>
      <c r="I57" s="85">
        <f t="shared" si="40"/>
        <v>132.39999999999998</v>
      </c>
      <c r="J57" s="85">
        <f t="shared" si="40"/>
        <v>80.500000000000014</v>
      </c>
      <c r="K57" s="85">
        <f t="shared" si="40"/>
        <v>142.30000000000001</v>
      </c>
      <c r="L57" s="85">
        <f t="shared" si="40"/>
        <v>115.20000000000002</v>
      </c>
      <c r="M57" s="85">
        <f t="shared" si="4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1">SUM(P24,P31,P39,P5,P11,P48,P52,P54,P55)</f>
        <v>99.000000000000014</v>
      </c>
      <c r="Q57" s="85">
        <f t="shared" si="41"/>
        <v>47.300000000000011</v>
      </c>
      <c r="R57" s="85">
        <f t="shared" si="41"/>
        <v>72.400000000000006</v>
      </c>
      <c r="S57" s="85">
        <f t="shared" si="41"/>
        <v>130.19999999999999</v>
      </c>
      <c r="T57" s="84">
        <f t="shared" si="41"/>
        <v>51.015488030696972</v>
      </c>
      <c r="U57" s="84">
        <f t="shared" si="41"/>
        <v>44.846662868679189</v>
      </c>
      <c r="V57" s="84">
        <f t="shared" si="41"/>
        <v>59.738168242712376</v>
      </c>
      <c r="W57" s="84">
        <f t="shared" si="41"/>
        <v>133.12045457370914</v>
      </c>
      <c r="X57" s="84">
        <f t="shared" si="41"/>
        <v>44.541900571096519</v>
      </c>
      <c r="Y57" s="84">
        <f t="shared" si="41"/>
        <v>47.583726453005866</v>
      </c>
      <c r="Z57" s="84">
        <f t="shared" si="41"/>
        <v>13.798431266134752</v>
      </c>
      <c r="AA57" s="84">
        <f t="shared" si="41"/>
        <v>44.710876675243028</v>
      </c>
      <c r="AB57" s="84">
        <f t="shared" si="41"/>
        <v>12.663494109438066</v>
      </c>
      <c r="AC57" s="84">
        <f t="shared" si="41"/>
        <v>6.2412926657373937</v>
      </c>
    </row>
    <row r="58" spans="1:29" x14ac:dyDescent="0.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284.98424984052389</v>
      </c>
      <c r="AC58" s="33">
        <f>SUM(Z57:AC57)</f>
        <v>77.414094716553237</v>
      </c>
    </row>
    <row r="60" spans="1:29" x14ac:dyDescent="0.25">
      <c r="A60" s="30" t="s">
        <v>203</v>
      </c>
    </row>
    <row r="61" spans="1:29" x14ac:dyDescent="0.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2">Y61*2-X61</f>
        <v>192.02556022408962</v>
      </c>
      <c r="AA61" s="351">
        <f t="shared" si="42"/>
        <v>196.89834267040146</v>
      </c>
      <c r="AB61" s="351">
        <f t="shared" si="42"/>
        <v>201.77112511671331</v>
      </c>
      <c r="AC61" s="351">
        <f t="shared" si="42"/>
        <v>206.64390756302515</v>
      </c>
    </row>
    <row r="62" spans="1:29" x14ac:dyDescent="0.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2"/>
        <v>164.79033870766153</v>
      </c>
      <c r="AA62" s="351">
        <f t="shared" si="42"/>
        <v>167.55874265716784</v>
      </c>
      <c r="AB62" s="351">
        <f t="shared" si="42"/>
        <v>170.32714660667415</v>
      </c>
      <c r="AC62" s="351">
        <f t="shared" si="42"/>
        <v>173.09555055618046</v>
      </c>
    </row>
    <row r="63" spans="1:29" x14ac:dyDescent="0.25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2"/>
        <v>510.72691111111106</v>
      </c>
      <c r="AA63" s="351">
        <f t="shared" si="42"/>
        <v>510.10282222222213</v>
      </c>
      <c r="AB63" s="351">
        <f t="shared" si="42"/>
        <v>509.4787333333332</v>
      </c>
      <c r="AC63" s="351">
        <f t="shared" si="42"/>
        <v>508.85464444444426</v>
      </c>
    </row>
    <row r="64" spans="1:29" x14ac:dyDescent="0.25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 x14ac:dyDescent="0.25">
      <c r="A65" t="s">
        <v>16</v>
      </c>
    </row>
    <row r="66" spans="1:29" x14ac:dyDescent="0.25">
      <c r="A66" t="s">
        <v>376</v>
      </c>
      <c r="B66">
        <f t="shared" ref="B66:U66" si="43">B46/B23</f>
        <v>0.28676380893782388</v>
      </c>
      <c r="C66">
        <f t="shared" si="43"/>
        <v>0.2051008</v>
      </c>
      <c r="D66">
        <f t="shared" si="43"/>
        <v>3.2796571906354523E-2</v>
      </c>
      <c r="E66">
        <f t="shared" si="43"/>
        <v>9.7273605362379528E-2</v>
      </c>
      <c r="F66">
        <f t="shared" si="43"/>
        <v>0.27004628777292577</v>
      </c>
      <c r="G66">
        <f t="shared" si="43"/>
        <v>0.67047694765672539</v>
      </c>
      <c r="H66">
        <f t="shared" si="43"/>
        <v>0.14829004343598054</v>
      </c>
      <c r="I66">
        <f t="shared" si="43"/>
        <v>7.7163602133333439E-2</v>
      </c>
      <c r="J66">
        <f t="shared" si="43"/>
        <v>0.23524658536585369</v>
      </c>
      <c r="K66">
        <f t="shared" si="43"/>
        <v>0.64943730006397937</v>
      </c>
      <c r="L66">
        <f t="shared" si="43"/>
        <v>0.20785558155080219</v>
      </c>
      <c r="M66">
        <f t="shared" si="43"/>
        <v>0.32497307443365697</v>
      </c>
      <c r="N66">
        <f t="shared" si="43"/>
        <v>0.29563176403857061</v>
      </c>
      <c r="O66">
        <f t="shared" si="43"/>
        <v>1.4600517214700195</v>
      </c>
      <c r="P66">
        <f t="shared" si="43"/>
        <v>5.5975283979631807E-2</v>
      </c>
      <c r="Q66">
        <f t="shared" si="43"/>
        <v>3.6762537993920964E-2</v>
      </c>
      <c r="R66">
        <f t="shared" si="43"/>
        <v>0.86571737606409627</v>
      </c>
      <c r="S66">
        <f t="shared" si="43"/>
        <v>0.68993547455792126</v>
      </c>
      <c r="T66">
        <f t="shared" si="43"/>
        <v>0.2896392710476709</v>
      </c>
      <c r="U66">
        <f t="shared" si="43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0.40494037488962037</v>
      </c>
      <c r="AA66">
        <f>$AC$43*AA67</f>
        <v>0.74469270293901657</v>
      </c>
      <c r="AB66">
        <f>$AC$43*AB67</f>
        <v>0.22236419643678723</v>
      </c>
      <c r="AC66">
        <f>$AC$43*AC67</f>
        <v>0.2775582359386578</v>
      </c>
    </row>
    <row r="67" spans="1:29" x14ac:dyDescent="0.25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 x14ac:dyDescent="0.25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 x14ac:dyDescent="0.25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 x14ac:dyDescent="0.25">
      <c r="A70" t="s">
        <v>381</v>
      </c>
      <c r="B70" s="33">
        <f>B23</f>
        <v>303.03684527653093</v>
      </c>
      <c r="C70" s="33">
        <f t="shared" ref="C70:Y70" si="44">C23</f>
        <v>312.04168876961961</v>
      </c>
      <c r="D70" s="33">
        <f t="shared" si="44"/>
        <v>365.89189974684314</v>
      </c>
      <c r="E70" s="33">
        <f t="shared" si="44"/>
        <v>310.46448712879527</v>
      </c>
      <c r="F70" s="33">
        <f t="shared" si="44"/>
        <v>258.84451357012142</v>
      </c>
      <c r="G70" s="33">
        <f t="shared" si="44"/>
        <v>246.09347208232077</v>
      </c>
      <c r="H70" s="33">
        <f t="shared" si="44"/>
        <v>235.34958377071993</v>
      </c>
      <c r="I70" s="33">
        <f t="shared" si="44"/>
        <v>263.07740228252948</v>
      </c>
      <c r="J70" s="33">
        <f t="shared" si="44"/>
        <v>235.07248750921448</v>
      </c>
      <c r="K70" s="33">
        <f t="shared" si="44"/>
        <v>222.80826799714899</v>
      </c>
      <c r="L70" s="33">
        <f t="shared" si="44"/>
        <v>224.67522715326271</v>
      </c>
      <c r="M70" s="33">
        <f t="shared" si="44"/>
        <v>196.01623953311338</v>
      </c>
      <c r="N70" s="33">
        <f t="shared" si="44"/>
        <v>190.10135863704983</v>
      </c>
      <c r="O70" s="33">
        <f t="shared" si="44"/>
        <v>195.4040365862877</v>
      </c>
      <c r="P70" s="33">
        <f t="shared" si="44"/>
        <v>180.43677998445119</v>
      </c>
      <c r="Q70" s="33">
        <f t="shared" si="44"/>
        <v>176.81042590353357</v>
      </c>
      <c r="R70" s="33">
        <f t="shared" si="44"/>
        <v>169.10830722330425</v>
      </c>
      <c r="S70" s="33">
        <f t="shared" si="44"/>
        <v>180.88648084078596</v>
      </c>
      <c r="T70" s="33">
        <f t="shared" si="44"/>
        <v>175.11973060883739</v>
      </c>
      <c r="U70" s="33">
        <f t="shared" si="44"/>
        <v>177.6939424172167</v>
      </c>
      <c r="V70" s="33">
        <f t="shared" si="44"/>
        <v>185.28031029770219</v>
      </c>
      <c r="W70" s="33">
        <f t="shared" si="44"/>
        <v>193.62531496623626</v>
      </c>
      <c r="X70" s="33">
        <f t="shared" si="44"/>
        <v>199.53830516231471</v>
      </c>
      <c r="Y70" s="33">
        <f t="shared" si="44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J59"/>
  <sheetViews>
    <sheetView workbookViewId="0">
      <pane xSplit="1" ySplit="1" topLeftCell="Q2" activePane="bottomRight" state="frozen"/>
      <selection activeCell="AA29" sqref="AA29"/>
      <selection pane="topRight" activeCell="AA29" sqref="AA29"/>
      <selection pane="bottomLeft" activeCell="AA29" sqref="AA29"/>
      <selection pane="bottomRight" activeCell="Y29" sqref="Y29"/>
    </sheetView>
  </sheetViews>
  <sheetFormatPr defaultRowHeight="13.2" outlineLevelCol="1" x14ac:dyDescent="0.25"/>
  <cols>
    <col min="1" max="1" width="70" bestFit="1" customWidth="1"/>
    <col min="2" max="5" width="8.88671875" hidden="1" customWidth="1" outlineLevel="1"/>
    <col min="6" max="6" width="8.88671875" collapsed="1"/>
  </cols>
  <sheetData>
    <row r="1" spans="1:36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 x14ac:dyDescent="0.25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>EBITDA_bad_ex!T57*1000-SUM(T4:T5,T9,T12)</f>
        <v>10866.279046876982</v>
      </c>
      <c r="U2" s="353">
        <f>EBITDA_bad_ex!U57*1000-SUM(U4:U5,U9,U12)</f>
        <v>7493.5248053373871</v>
      </c>
      <c r="V2" s="353">
        <f>EBITDA_bad_ex!V57*1000-SUM(V4:V5,V9,V12)</f>
        <v>19223.118710233903</v>
      </c>
      <c r="W2" s="353">
        <f>EBITDA_bad_ex!W57*1000-SUM(W4:W5,W9,W12)</f>
        <v>85511.987592034187</v>
      </c>
      <c r="X2" s="353">
        <f>EBITDA_bad_ex!X57*1000-SUM(X4:X5,X9,X12)</f>
        <v>-3270.8132913883965</v>
      </c>
      <c r="Y2" s="353">
        <f>EBITDA_bad_ex!Y57*1000-SUM(Y4:Y5,Y9,Y12)</f>
        <v>2436.3871588323018</v>
      </c>
      <c r="Z2" s="353">
        <f>EBITDA_bad_ex!Z57*1000-SUM(Z4:Z5,Z9,Z12)</f>
        <v>-38628.023832587547</v>
      </c>
      <c r="AA2" s="353">
        <f>EBITDA_bad_ex!AA57*1000-SUM(AA4:AA5,AA9,AA12)</f>
        <v>-10353.094748467862</v>
      </c>
      <c r="AB2" s="353">
        <f>EBITDA_bad_ex!AB57*1000-SUM(AB4:AB5,AB9,AB12)</f>
        <v>-35094.025608463649</v>
      </c>
      <c r="AC2" s="353">
        <f>EBITDA_bad_ex!AC57*1000-SUM(AC4:AC5,AC9,AC12)</f>
        <v>-38476.88737406391</v>
      </c>
      <c r="AD2" s="311"/>
      <c r="AE2" s="311"/>
      <c r="AF2" s="311"/>
      <c r="AG2" s="311"/>
      <c r="AH2" s="311"/>
      <c r="AI2" s="311"/>
      <c r="AJ2" s="311"/>
    </row>
    <row r="3" spans="1:36" x14ac:dyDescent="0.25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 x14ac:dyDescent="0.25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>SUM(BS_bad_ex!S15:S18)*T57/4</f>
        <v>13577.025</v>
      </c>
      <c r="U4" s="360">
        <f>SUM(BS_bad_ex!T15:T18)*U57/4</f>
        <v>12950.34328125</v>
      </c>
      <c r="V4" s="360">
        <f>SUM(BS_bad_ex!U15:U18)*V57/4</f>
        <v>13270.024344726562</v>
      </c>
      <c r="W4" s="360">
        <f>SUM(BS_bad_ex!V15:V18)*W57/4</f>
        <v>17521.211388262938</v>
      </c>
      <c r="X4" s="360">
        <f>SUM(BS_bad_ex!W15:W18)*X57/4</f>
        <v>20567.68867473301</v>
      </c>
      <c r="Y4" s="360">
        <f>SUM(BS_bad_ex!X15:X18)*Y57/4</f>
        <v>20744.544512081764</v>
      </c>
      <c r="Z4" s="360">
        <f>SUM(BS_bad_ex!Y15:Y18)*Z57/4</f>
        <v>20918.084302480234</v>
      </c>
      <c r="AA4" s="360">
        <f>SUM(BS_bad_ex!Z15:Z18)*AA57/4</f>
        <v>20713.370221808727</v>
      </c>
      <c r="AB4" s="360">
        <f>SUM(BS_bad_ex!AA15:AA18)*AB57/4</f>
        <v>20512.494530149812</v>
      </c>
      <c r="AC4" s="360">
        <f>SUM(BS_bad_ex!AB15:AB18)*AC57/4</f>
        <v>20315.385257709499</v>
      </c>
    </row>
    <row r="5" spans="1:36" x14ac:dyDescent="0.25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>SUM(BS_bad_ex!S29:T31,BS_bad_ex!S34:T35)*T56/4</f>
        <v>26572.183983819988</v>
      </c>
      <c r="U5" s="360">
        <f>SUM(BS_bad_ex!T29:U31,BS_bad_ex!T34:U35)*U56/4</f>
        <v>24402.794782091798</v>
      </c>
      <c r="V5" s="360">
        <f>SUM(BS_bad_ex!U29:V31,BS_bad_ex!U34:V35)*V56/4</f>
        <v>27245.025187751908</v>
      </c>
      <c r="W5" s="360">
        <f>SUM(BS_bad_ex!V29:W31,BS_bad_ex!V34:W35)*W56/4</f>
        <v>30087.255593412014</v>
      </c>
      <c r="X5" s="360">
        <f>SUM(BS_bad_ex!W29:X31,BS_bad_ex!W34:X35)*X56/4</f>
        <v>27245.025187751908</v>
      </c>
      <c r="Y5" s="360">
        <f>SUM(BS_bad_ex!X29:Y31,BS_bad_ex!X34:Y35)*Y56/4</f>
        <v>24402.794782091798</v>
      </c>
      <c r="Z5" s="360">
        <f>SUM(BS_bad_ex!Y29:Z31,BS_bad_ex!Y34:Z35)*Z56/4</f>
        <v>31508.370796242063</v>
      </c>
      <c r="AA5" s="360">
        <f>SUM(BS_bad_ex!Z29:AA31,BS_bad_ex!Z34:AA35)*AA56/4</f>
        <v>34350.601201902165</v>
      </c>
      <c r="AB5" s="360">
        <f>SUM(BS_bad_ex!AA29:AB31,BS_bad_ex!AA34:AB35)*AB56/4</f>
        <v>27245.025187751908</v>
      </c>
      <c r="AC5" s="360">
        <f>SUM(BS_bad_ex!AB29:AC31,BS_bad_ex!AB34:AC35)*AC56/4</f>
        <v>24402.794782091798</v>
      </c>
    </row>
    <row r="6" spans="1:36" x14ac:dyDescent="0.25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 x14ac:dyDescent="0.25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 x14ac:dyDescent="0.25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 x14ac:dyDescent="0.25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 x14ac:dyDescent="0.25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 x14ac:dyDescent="0.25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 x14ac:dyDescent="0.25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 x14ac:dyDescent="0.25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 x14ac:dyDescent="0.25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 x14ac:dyDescent="0.25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 x14ac:dyDescent="0.25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59738.168242712374</v>
      </c>
      <c r="W16" s="354">
        <f t="shared" si="0"/>
        <v>133120.45457370914</v>
      </c>
      <c r="X16" s="354">
        <f t="shared" si="0"/>
        <v>44541.900571096521</v>
      </c>
      <c r="Y16" s="354">
        <f t="shared" si="0"/>
        <v>47583.72645300586</v>
      </c>
      <c r="Z16" s="354">
        <f t="shared" si="0"/>
        <v>13798.43126613475</v>
      </c>
      <c r="AA16" s="354">
        <f t="shared" si="0"/>
        <v>44710.876675243031</v>
      </c>
      <c r="AB16" s="354">
        <f t="shared" si="0"/>
        <v>12663.49410943807</v>
      </c>
      <c r="AC16" s="354">
        <f t="shared" si="0"/>
        <v>6241.2926657373864</v>
      </c>
    </row>
    <row r="17" spans="1:29" x14ac:dyDescent="0.25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 x14ac:dyDescent="0.25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>BS_bad_ex!S5-BS_bad_ex!T5</f>
        <v>37582.166666666672</v>
      </c>
      <c r="U18" s="320">
        <f>BS_bad_ex!T5-BS_bad_ex!U5</f>
        <v>-4996.4722222222335</v>
      </c>
      <c r="V18" s="320">
        <f>BS_bad_ex!U5-BS_bad_ex!V5</f>
        <v>-684.71759259258397</v>
      </c>
      <c r="W18" s="320">
        <f>BS_bad_ex!V5-BS_bad_ex!W5</f>
        <v>7420.1628086419805</v>
      </c>
      <c r="X18" s="320">
        <f>BS_bad_ex!W5-BS_bad_ex!X5</f>
        <v>-1816.3100565843633</v>
      </c>
      <c r="Y18" s="320">
        <f>BS_bad_ex!X5-BS_bad_ex!Y5</f>
        <v>-7689.0283993484336</v>
      </c>
      <c r="Z18" s="320">
        <f>BS_bad_ex!Y5-BS_bad_ex!Z5</f>
        <v>4969.3002007601754</v>
      </c>
      <c r="AA18" s="320">
        <f>BS_bad_ex!Z5-BS_bad_ex!AA5</f>
        <v>-466.1775435575837</v>
      </c>
      <c r="AB18" s="320">
        <f>BS_bad_ex!AA5-BS_bad_ex!AB5</f>
        <v>288.87156955320097</v>
      </c>
      <c r="AC18" s="320">
        <f>BS_bad_ex!AB5-BS_bad_ex!AC5</f>
        <v>451.13642991083907</v>
      </c>
    </row>
    <row r="19" spans="1:29" x14ac:dyDescent="0.25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>BS_bad_ex!S6-BS_bad_ex!T6</f>
        <v>9202</v>
      </c>
      <c r="U19" s="320">
        <f>BS_bad_ex!T6-BS_bad_ex!U6</f>
        <v>18372</v>
      </c>
      <c r="V19" s="320">
        <f>BS_bad_ex!U6-BS_bad_ex!V6</f>
        <v>-12679</v>
      </c>
      <c r="W19" s="320">
        <f>BS_bad_ex!V6-BS_bad_ex!W6</f>
        <v>-15586</v>
      </c>
      <c r="X19" s="320">
        <f>BS_bad_ex!W6-BS_bad_ex!X6</f>
        <v>9202</v>
      </c>
      <c r="Y19" s="320">
        <f>BS_bad_ex!X6-BS_bad_ex!Y6</f>
        <v>18372</v>
      </c>
      <c r="Z19" s="320">
        <f>BS_bad_ex!Y6-BS_bad_ex!Z6</f>
        <v>-12679</v>
      </c>
      <c r="AA19" s="320">
        <f>BS_bad_ex!Z6-BS_bad_ex!AA6</f>
        <v>-15586</v>
      </c>
      <c r="AB19" s="320">
        <f>BS_bad_ex!AA6-BS_bad_ex!AB6</f>
        <v>9202</v>
      </c>
      <c r="AC19" s="320">
        <f>BS_bad_ex!AB6-BS_bad_ex!AC6</f>
        <v>18372</v>
      </c>
    </row>
    <row r="20" spans="1:29" x14ac:dyDescent="0.25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 x14ac:dyDescent="0.25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>BS_bad_ex!S8-BS_bad_ex!T8</f>
        <v>59404.833333333343</v>
      </c>
      <c r="U21" s="320">
        <f>BS_bad_ex!T8-BS_bad_ex!U8</f>
        <v>-10349.361111111124</v>
      </c>
      <c r="V21" s="320">
        <f>BS_bad_ex!U8-BS_bad_ex!V8</f>
        <v>-90.08796296294895</v>
      </c>
      <c r="W21" s="320">
        <f>BS_bad_ex!V8-BS_bad_ex!W8</f>
        <v>2151.0640432098589</v>
      </c>
      <c r="X21" s="320">
        <f>BS_bad_ex!W8-BS_bad_ex!X8</f>
        <v>-3023.5919495884737</v>
      </c>
      <c r="Y21" s="320">
        <f>BS_bad_ex!X8-BS_bad_ex!Y8</f>
        <v>-5320.3572745198908</v>
      </c>
      <c r="Z21" s="320">
        <f>BS_bad_ex!Y8-BS_bad_ex!Z8</f>
        <v>7128.7498463934753</v>
      </c>
      <c r="AA21" s="320">
        <f>BS_bad_ex!Z8-BS_bad_ex!AA8</f>
        <v>-1583.930734763213</v>
      </c>
      <c r="AB21" s="320">
        <f>BS_bad_ex!AA8-BS_bad_ex!AB8</f>
        <v>-123.02567203849321</v>
      </c>
      <c r="AC21" s="320">
        <f>BS_bad_ex!AB8-BS_bad_ex!AC8</f>
        <v>-128.51529021782335</v>
      </c>
    </row>
    <row r="22" spans="1:29" x14ac:dyDescent="0.25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>BS_bad_ex!S10-BS_bad_ex!T10</f>
        <v>121.96098432164945</v>
      </c>
      <c r="U22" s="320">
        <f>BS_bad_ex!T10-BS_bad_ex!U10</f>
        <v>-1322.595382698124</v>
      </c>
      <c r="V22" s="320">
        <f>BS_bad_ex!U10-BS_bad_ex!V10</f>
        <v>-209017.31429925474</v>
      </c>
      <c r="W22" s="320">
        <f>BS_bad_ex!V10-BS_bad_ex!W10</f>
        <v>129519.96272179206</v>
      </c>
      <c r="X22" s="320">
        <f>BS_bad_ex!W10-BS_bad_ex!X10</f>
        <v>78297.474088157338</v>
      </c>
      <c r="Y22" s="320">
        <f>BS_bad_ex!X10-BS_bad_ex!Y10</f>
        <v>8069.3321021653683</v>
      </c>
      <c r="Z22" s="320">
        <f>BS_bad_ex!Y10-BS_bad_ex!Z10</f>
        <v>-159795.38328905555</v>
      </c>
      <c r="AA22" s="320">
        <f>BS_bad_ex!Z10-BS_bad_ex!AA10</f>
        <v>99019.031777822151</v>
      </c>
      <c r="AB22" s="320">
        <f>BS_bad_ex!AA10-BS_bad_ex!AB10</f>
        <v>59859.035718777341</v>
      </c>
      <c r="AC22" s="320">
        <f>BS_bad_ex!AB10-BS_bad_ex!AC10</f>
        <v>917.31579245604735</v>
      </c>
    </row>
    <row r="23" spans="1:29" x14ac:dyDescent="0.25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>BS_bad_ex!S9-BS_bad_ex!T9</f>
        <v>313705.98146473453</v>
      </c>
      <c r="U23" s="320">
        <f>BS_bad_ex!T9-BS_bad_ex!U9</f>
        <v>129580.96945953043</v>
      </c>
      <c r="V23" s="320">
        <f>BS_bad_ex!U9-BS_bad_ex!V9</f>
        <v>-199628.42008637625</v>
      </c>
      <c r="W23" s="320">
        <f>BS_bad_ex!V9-BS_bad_ex!W9</f>
        <v>-25851.835153660562</v>
      </c>
      <c r="X23" s="320">
        <f>BS_bad_ex!W9-BS_bad_ex!X9</f>
        <v>75851.136784005503</v>
      </c>
      <c r="Y23" s="320">
        <f>BS_bad_ex!X9-BS_bad_ex!Y9</f>
        <v>106122.0478151663</v>
      </c>
      <c r="Z23" s="320">
        <f>BS_bad_ex!Y9-BS_bad_ex!Z9</f>
        <v>-216167.66551409167</v>
      </c>
      <c r="AA23" s="320">
        <f>BS_bad_ex!Z9-BS_bad_ex!AA9</f>
        <v>-32569.675207574503</v>
      </c>
      <c r="AB23" s="320">
        <f>BS_bad_ex!AA9-BS_bad_ex!AB9</f>
        <v>111462.21225395007</v>
      </c>
      <c r="AC23" s="320">
        <f>BS_bad_ex!AB9-BS_bad_ex!AC9</f>
        <v>137275.1284677161</v>
      </c>
    </row>
    <row r="24" spans="1:29" x14ac:dyDescent="0.25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>BS_bad_ex!S27-BS_bad_ex!T27</f>
        <v>359.66666666666424</v>
      </c>
      <c r="U24" s="320">
        <f>BS_bad_ex!T27-BS_bad_ex!U27</f>
        <v>-365.22222222221899</v>
      </c>
      <c r="V24" s="320">
        <f>BS_bad_ex!U27-BS_bad_ex!V27</f>
        <v>-1249.0925925925985</v>
      </c>
      <c r="W24" s="320">
        <f>BS_bad_ex!V27-BS_bad_ex!W27</f>
        <v>281.058641975309</v>
      </c>
      <c r="X24" s="320">
        <f>BS_bad_ex!W27-BS_bad_ex!X27</f>
        <v>-124.76491769547283</v>
      </c>
      <c r="Y24" s="320">
        <f>BS_bad_ex!X27-BS_bad_ex!Y27</f>
        <v>602.9409293552817</v>
      </c>
      <c r="Z24" s="320">
        <f>BS_bad_ex!Y27-BS_bad_ex!Z27</f>
        <v>-82.568915752177418</v>
      </c>
      <c r="AA24" s="320">
        <f>BS_bad_ex!Z27-BS_bad_ex!AA27</f>
        <v>-156.27484615530557</v>
      </c>
      <c r="AB24" s="320">
        <f>BS_bad_ex!AA27-BS_bad_ex!AB27</f>
        <v>-121.45028347749758</v>
      </c>
      <c r="AC24" s="320">
        <f>BS_bad_ex!AB27-BS_bad_ex!AC27</f>
        <v>66.490101375020458</v>
      </c>
    </row>
    <row r="25" spans="1:29" x14ac:dyDescent="0.25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>BS_bad_ex!S28-BS_bad_ex!T28</f>
        <v>16395.333333333328</v>
      </c>
      <c r="U25" s="320">
        <f>BS_bad_ex!T28-BS_bad_ex!U28</f>
        <v>-3127.2777777777665</v>
      </c>
      <c r="V25" s="320">
        <f>BS_bad_ex!U28-BS_bad_ex!V28</f>
        <v>-134.49074074074451</v>
      </c>
      <c r="W25" s="320">
        <f>BS_bad_ex!V28-BS_bad_ex!W28</f>
        <v>853.09413580247201</v>
      </c>
      <c r="X25" s="320">
        <f>BS_bad_ex!W28-BS_bad_ex!X28</f>
        <v>-3260.3901748971257</v>
      </c>
      <c r="Y25" s="320">
        <f>BS_bad_ex!X28-BS_bad_ex!Y28</f>
        <v>525.37812928669155</v>
      </c>
      <c r="Z25" s="320">
        <f>BS_bad_ex!Y28-BS_bad_ex!Z28</f>
        <v>1875.2744841678068</v>
      </c>
      <c r="AA25" s="320">
        <f>BS_bad_ex!Z28-BS_bad_ex!AA28</f>
        <v>-544.73532402643468</v>
      </c>
      <c r="AB25" s="320">
        <f>BS_bad_ex!AA28-BS_bad_ex!AB28</f>
        <v>-114.31158173456788</v>
      </c>
      <c r="AC25" s="320">
        <f>BS_bad_ex!AB28-BS_bad_ex!AC28</f>
        <v>-110.94838856685965</v>
      </c>
    </row>
    <row r="26" spans="1:29" x14ac:dyDescent="0.25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172638.70361217816</v>
      </c>
      <c r="V26" s="320">
        <f t="shared" si="1"/>
        <v>-363744.95503180748</v>
      </c>
      <c r="W26" s="320">
        <f t="shared" si="1"/>
        <v>231907.96177147029</v>
      </c>
      <c r="X26" s="320">
        <f t="shared" si="1"/>
        <v>199667.45434449395</v>
      </c>
      <c r="Y26" s="320">
        <f t="shared" si="1"/>
        <v>168266.03975511115</v>
      </c>
      <c r="Z26" s="320">
        <f t="shared" si="1"/>
        <v>-360952.8619214432</v>
      </c>
      <c r="AA26" s="320">
        <f t="shared" si="1"/>
        <v>92823.114796988142</v>
      </c>
      <c r="AB26" s="320">
        <f t="shared" si="1"/>
        <v>193116.82611446813</v>
      </c>
      <c r="AC26" s="320">
        <f t="shared" si="1"/>
        <v>163083.89977841073</v>
      </c>
    </row>
    <row r="27" spans="1:29" x14ac:dyDescent="0.25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-27245.025187751908</v>
      </c>
      <c r="W27" s="320">
        <f t="shared" si="2"/>
        <v>-30087.255593412014</v>
      </c>
      <c r="X27" s="320">
        <f t="shared" si="2"/>
        <v>-27245.025187751908</v>
      </c>
      <c r="Y27" s="320">
        <f t="shared" si="2"/>
        <v>-24402.794782091798</v>
      </c>
      <c r="Z27" s="320">
        <f t="shared" si="2"/>
        <v>-31508.370796242063</v>
      </c>
      <c r="AA27" s="320">
        <f t="shared" si="2"/>
        <v>-34350.601201902165</v>
      </c>
      <c r="AB27" s="320">
        <f t="shared" si="2"/>
        <v>-27245.025187751908</v>
      </c>
      <c r="AC27" s="320">
        <f t="shared" si="2"/>
        <v>-24402.794782091798</v>
      </c>
    </row>
    <row r="28" spans="1:29" x14ac:dyDescent="0.25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-1038.0484103526305</v>
      </c>
      <c r="W28" s="359">
        <f t="shared" si="3"/>
        <v>-4617.6473299698455</v>
      </c>
      <c r="X28" s="359">
        <f t="shared" si="3"/>
        <v>176.62391773497339</v>
      </c>
      <c r="Y28" s="359">
        <f t="shared" si="3"/>
        <v>-131.56490657694428</v>
      </c>
      <c r="Z28" s="359">
        <f t="shared" si="3"/>
        <v>2085.9132869597274</v>
      </c>
      <c r="AA28" s="359">
        <f t="shared" si="3"/>
        <v>559.06711641726451</v>
      </c>
      <c r="AB28" s="359">
        <f t="shared" si="3"/>
        <v>1895.0773828570368</v>
      </c>
      <c r="AC28" s="359">
        <f t="shared" si="3"/>
        <v>2077.7519181994508</v>
      </c>
    </row>
    <row r="29" spans="1:29" x14ac:dyDescent="0.25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147831.25849059812</v>
      </c>
      <c r="V29" s="354">
        <f t="shared" si="4"/>
        <v>-392028.02862991201</v>
      </c>
      <c r="W29" s="354">
        <f t="shared" si="4"/>
        <v>197203.05884808843</v>
      </c>
      <c r="X29" s="354">
        <f t="shared" si="4"/>
        <v>172599.05307447701</v>
      </c>
      <c r="Y29" s="354">
        <f t="shared" si="4"/>
        <v>143731.68006644241</v>
      </c>
      <c r="Z29" s="354">
        <f t="shared" si="4"/>
        <v>-390375.31943072553</v>
      </c>
      <c r="AA29" s="354">
        <f t="shared" si="4"/>
        <v>59031.580711503244</v>
      </c>
      <c r="AB29" s="354">
        <f t="shared" si="4"/>
        <v>167766.87830957325</v>
      </c>
      <c r="AC29" s="354">
        <f t="shared" si="4"/>
        <v>140758.85691451837</v>
      </c>
    </row>
    <row r="30" spans="1:29" x14ac:dyDescent="0.25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 x14ac:dyDescent="0.25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 x14ac:dyDescent="0.25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 x14ac:dyDescent="0.25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 x14ac:dyDescent="0.25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 x14ac:dyDescent="0.25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>
        <v>-150000</v>
      </c>
      <c r="X35" s="320"/>
      <c r="Y35" s="320"/>
      <c r="Z35" s="320"/>
      <c r="AA35" s="320"/>
      <c r="AB35" s="320"/>
      <c r="AC35" s="320"/>
    </row>
    <row r="36" spans="1:29" x14ac:dyDescent="0.25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>BS_bad_ex!S12-BS_bad_ex!T12</f>
        <v>0</v>
      </c>
      <c r="U36" s="320">
        <f>BS_bad_ex!T12-BS_bad_ex!U12</f>
        <v>0</v>
      </c>
      <c r="V36" s="320">
        <f>BS_bad_ex!U12-BS_bad_ex!V12</f>
        <v>0</v>
      </c>
      <c r="W36" s="320">
        <f>BS_bad_ex!V12-BS_bad_ex!W12</f>
        <v>0</v>
      </c>
      <c r="X36" s="320">
        <f>BS_bad_ex!W12-BS_bad_ex!X12</f>
        <v>0</v>
      </c>
      <c r="Y36" s="320">
        <f>BS_bad_ex!X12-BS_bad_ex!Y12</f>
        <v>0</v>
      </c>
      <c r="Z36" s="320">
        <f>BS_bad_ex!Y12-BS_bad_ex!Z12</f>
        <v>0</v>
      </c>
      <c r="AA36" s="320">
        <f>BS_bad_ex!Z12-BS_bad_ex!AA12</f>
        <v>0</v>
      </c>
      <c r="AB36" s="320">
        <f>BS_bad_ex!AA12-BS_bad_ex!AB12</f>
        <v>0</v>
      </c>
      <c r="AC36" s="320">
        <f>BS_bad_ex!AB12-BS_bad_ex!AC12</f>
        <v>0</v>
      </c>
    </row>
    <row r="37" spans="1:29" x14ac:dyDescent="0.25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 x14ac:dyDescent="0.25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 x14ac:dyDescent="0.25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-180000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 x14ac:dyDescent="0.25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 x14ac:dyDescent="0.25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 x14ac:dyDescent="0.25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>SUM(BS_bad_ex!T29:T30)-SUM(BS_bad_ex!S29:S30)</f>
        <v>-569327</v>
      </c>
      <c r="U42" s="320">
        <f>SUM(BS_bad_ex!U29:U30)-SUM(BS_bad_ex!T29:T30)</f>
        <v>0</v>
      </c>
      <c r="V42" s="320">
        <f>SUM(BS_bad_ex!V29:V30)-SUM(BS_bad_ex!U29:U30)</f>
        <v>100000</v>
      </c>
      <c r="W42" s="320">
        <f>SUM(BS_bad_ex!W29:W30)-SUM(BS_bad_ex!V29:V30)</f>
        <v>0</v>
      </c>
      <c r="X42" s="320">
        <f>SUM(BS_bad_ex!X29:X30)-SUM(BS_bad_ex!W29:W30)</f>
        <v>-100000</v>
      </c>
      <c r="Y42" s="320">
        <f>SUM(BS_bad_ex!Y29:Y30)-SUM(BS_bad_ex!X29:X30)</f>
        <v>0</v>
      </c>
      <c r="Z42" s="320">
        <f>SUM(BS_bad_ex!Z29:Z30)-SUM(BS_bad_ex!Y29:Y30)</f>
        <v>250000</v>
      </c>
      <c r="AA42" s="320">
        <f>SUM(BS_bad_ex!AA29:AA30)-SUM(BS_bad_ex!Z29:Z30)</f>
        <v>-150000</v>
      </c>
      <c r="AB42" s="320">
        <f>SUM(BS_bad_ex!AB29:AB30)-SUM(BS_bad_ex!AA29:AA30)</f>
        <v>-100000</v>
      </c>
      <c r="AC42" s="320">
        <f>SUM(BS_bad_ex!AC29:AC30)-SUM(BS_bad_ex!AB29:AB30)</f>
        <v>0</v>
      </c>
    </row>
    <row r="43" spans="1:29" x14ac:dyDescent="0.25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 x14ac:dyDescent="0.25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 x14ac:dyDescent="0.25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 x14ac:dyDescent="0.25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 x14ac:dyDescent="0.25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 x14ac:dyDescent="0.25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100000</v>
      </c>
      <c r="W48" s="354">
        <f t="shared" si="7"/>
        <v>0</v>
      </c>
      <c r="X48" s="354">
        <f t="shared" si="7"/>
        <v>-100000</v>
      </c>
      <c r="Y48" s="354">
        <f t="shared" si="7"/>
        <v>-19921</v>
      </c>
      <c r="Z48" s="354">
        <f t="shared" si="7"/>
        <v>250000</v>
      </c>
      <c r="AA48" s="354">
        <f t="shared" si="7"/>
        <v>-150000</v>
      </c>
      <c r="AB48" s="354">
        <f t="shared" si="7"/>
        <v>-100000</v>
      </c>
      <c r="AC48" s="354">
        <f t="shared" si="7"/>
        <v>-19921</v>
      </c>
    </row>
    <row r="49" spans="1:36" x14ac:dyDescent="0.25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 x14ac:dyDescent="0.25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97910.25849059812</v>
      </c>
      <c r="V50" s="353">
        <f t="shared" si="8"/>
        <v>-532028.02862991206</v>
      </c>
      <c r="W50" s="353">
        <f t="shared" si="8"/>
        <v>17203.058848088433</v>
      </c>
      <c r="X50" s="353">
        <f t="shared" si="8"/>
        <v>42599.053074477008</v>
      </c>
      <c r="Y50" s="353">
        <f t="shared" si="8"/>
        <v>93810.680066442408</v>
      </c>
      <c r="Z50" s="353">
        <f t="shared" si="8"/>
        <v>-150375.31943072553</v>
      </c>
      <c r="AA50" s="353">
        <f t="shared" si="8"/>
        <v>-100968.41928849675</v>
      </c>
      <c r="AB50" s="353">
        <f t="shared" si="8"/>
        <v>57766.878309573251</v>
      </c>
      <c r="AC50" s="353">
        <f t="shared" si="8"/>
        <v>110837.85691451837</v>
      </c>
      <c r="AD50" s="311"/>
      <c r="AE50" s="311"/>
      <c r="AF50" s="311"/>
      <c r="AG50" s="311"/>
      <c r="AH50" s="311"/>
      <c r="AI50" s="311"/>
      <c r="AJ50" s="311"/>
    </row>
    <row r="51" spans="1:36" x14ac:dyDescent="0.25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616816.72591799998</v>
      </c>
      <c r="W51" s="320">
        <f t="shared" si="9"/>
        <v>84788.697288087918</v>
      </c>
      <c r="X51" s="320">
        <f t="shared" si="9"/>
        <v>101991.75613617635</v>
      </c>
      <c r="Y51" s="320">
        <f t="shared" si="9"/>
        <v>144590.80921065336</v>
      </c>
      <c r="Z51" s="320">
        <f t="shared" si="9"/>
        <v>238401.48927709577</v>
      </c>
      <c r="AA51" s="320">
        <f t="shared" si="9"/>
        <v>88026.169846370234</v>
      </c>
      <c r="AB51" s="320">
        <f t="shared" si="9"/>
        <v>-12942.249442126515</v>
      </c>
      <c r="AC51" s="320">
        <f t="shared" si="9"/>
        <v>44824.628867446736</v>
      </c>
    </row>
    <row r="52" spans="1:36" x14ac:dyDescent="0.25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616816.72591799998</v>
      </c>
      <c r="V52" s="320">
        <f t="shared" si="10"/>
        <v>84788.697288087918</v>
      </c>
      <c r="W52" s="320">
        <f t="shared" si="10"/>
        <v>101991.75613617635</v>
      </c>
      <c r="X52" s="320">
        <f t="shared" si="10"/>
        <v>144590.80921065336</v>
      </c>
      <c r="Y52" s="320">
        <f t="shared" si="10"/>
        <v>238401.48927709577</v>
      </c>
      <c r="Z52" s="320">
        <f t="shared" si="10"/>
        <v>88026.169846370234</v>
      </c>
      <c r="AA52" s="320">
        <f t="shared" si="10"/>
        <v>-12942.249442126515</v>
      </c>
      <c r="AB52" s="320">
        <f t="shared" si="10"/>
        <v>44824.628867446736</v>
      </c>
      <c r="AC52" s="320">
        <f t="shared" si="10"/>
        <v>155662.48578196511</v>
      </c>
    </row>
    <row r="54" spans="1:36" x14ac:dyDescent="0.25">
      <c r="D54" s="316">
        <f>D2+D4+D5-EBITDA_bad_ex!D57*1000</f>
        <v>-2398</v>
      </c>
      <c r="E54" s="316">
        <f>E2+E4+E5-EBITDA_bad_ex!E57*1000</f>
        <v>188226</v>
      </c>
      <c r="F54" s="316">
        <f>F2+F4+F5+F9+F12-EBITDA_bad_ex!F57*1000</f>
        <v>-3776.0000000000036</v>
      </c>
      <c r="G54" s="316">
        <f>G2+G4+G5+G9+G12-EBITDA_bad_ex!G57*1000</f>
        <v>-21276</v>
      </c>
      <c r="H54" s="316">
        <f>H2+H4+H5+H9+H12-EBITDA_bad_ex!H57*1000</f>
        <v>-25711.999999999993</v>
      </c>
      <c r="I54" s="316">
        <f>I2+I4+I5+I9+I12-EBITDA_bad_ex!I57*1000</f>
        <v>-27602.999999999971</v>
      </c>
      <c r="J54" s="316">
        <f>J2+J4+J5+J9+J12-EBITDA_bad_ex!J57*1000</f>
        <v>-9114.0000000000146</v>
      </c>
      <c r="K54" s="316">
        <f>K2+K4+K5+K9+K12-EBITDA_bad_ex!K57*1000</f>
        <v>-11873</v>
      </c>
      <c r="L54" s="316">
        <f>L2+L4+L5+L9+L12-EBITDA_bad_ex!L57*1000</f>
        <v>-35438.000000000015</v>
      </c>
      <c r="M54" s="316">
        <f>M2+M4+M5+M9+M12-EBITDA_bad_ex!M57*1000</f>
        <v>-17917.999999999993</v>
      </c>
      <c r="N54" s="316">
        <f>N2+N4+N5+N9+N12-EBITDA_bad_ex!N57*1000</f>
        <v>3145</v>
      </c>
      <c r="O54" s="316">
        <f>O2+O4+O5+O9+O12-EBITDA_bad_ex!O57*1000</f>
        <v>9467</v>
      </c>
      <c r="P54" s="316">
        <f>P2+P4+P5+P9+P12-EBITDA_bad_ex!P57*1000</f>
        <v>19667.999999999985</v>
      </c>
      <c r="Q54" s="316">
        <f>Q2+Q4+Q5+Q9+Q12-EBITDA_bad_ex!Q57*1000</f>
        <v>-61193.000000000015</v>
      </c>
      <c r="R54" s="316">
        <f>R2+R4+R5+R9+R12-EBITDA_bad_ex!R57*1000</f>
        <v>5579</v>
      </c>
      <c r="S54" s="316">
        <f>S2+S4+S5+S9+S12-EBITDA_bad_ex!S57*1000</f>
        <v>370.00000000001455</v>
      </c>
    </row>
    <row r="56" spans="1:36" x14ac:dyDescent="0.25">
      <c r="A56" t="s">
        <v>387</v>
      </c>
      <c r="G56" s="13">
        <f>G5*2/SUM(BS_bad_ex!F29:G31,BS_bad_ex!F34:G35)*4</f>
        <v>8.6968458531091281E-2</v>
      </c>
      <c r="H56" s="13">
        <f>H5*2/SUM(BS_bad_ex!G29:H31,BS_bad_ex!G34:H35)*4</f>
        <v>7.8536878779784269E-2</v>
      </c>
      <c r="I56" s="13">
        <f>I5*2/SUM(BS_bad_ex!H29:I31,BS_bad_ex!H34:I35)*4</f>
        <v>8.4503311709976853E-2</v>
      </c>
      <c r="J56" s="13">
        <f>J5*2/SUM(BS_bad_ex!I29:J31,BS_bad_ex!I34:J35)*4</f>
        <v>0.10215408328367011</v>
      </c>
      <c r="K56" s="13">
        <f>K5*2/SUM(BS_bad_ex!J29:K31,BS_bad_ex!J34:K35)*4</f>
        <v>0.1014430632947564</v>
      </c>
      <c r="L56" s="13">
        <f>L5*2/SUM(BS_bad_ex!K29:L31,BS_bad_ex!K34:L35)*4</f>
        <v>0.10315769144107896</v>
      </c>
      <c r="M56" s="13">
        <f>M5*2/SUM(BS_bad_ex!L29:M31,BS_bad_ex!L34:M35)*4</f>
        <v>9.7962658720392698E-2</v>
      </c>
      <c r="N56" s="13">
        <f>N5*2/SUM(BS_bad_ex!M29:N31,BS_bad_ex!M34:N35)*4</f>
        <v>9.7727277668703927E-2</v>
      </c>
      <c r="O56" s="13">
        <f>O5*2/SUM(BS_bad_ex!N29:O31,BS_bad_ex!N34:O35)*4</f>
        <v>0.14103418233997847</v>
      </c>
      <c r="P56" s="13">
        <f>P5*2/SUM(BS_bad_ex!O29:P31,BS_bad_ex!O34:P35)*4</f>
        <v>0.1178298241463607</v>
      </c>
      <c r="Q56" s="13">
        <f>Q5*2/SUM(BS_bad_ex!P29:Q31,BS_bad_ex!P34:Q35)*4</f>
        <v>0.14828041561185512</v>
      </c>
      <c r="R56" s="13">
        <f>R5*2/SUM(BS_bad_ex!Q29:R31,BS_bad_ex!Q34:R35)*4</f>
        <v>0.11870667234311194</v>
      </c>
      <c r="S56" s="13">
        <f>S5*2/SUM(BS_bad_ex!R29:S31,BS_bad_ex!R34:S35)*4</f>
        <v>0.11368921622640416</v>
      </c>
      <c r="T56" s="13">
        <f>($T$41*0.0875+(SUM(BS_bad_ex!S29:T31,BS_bad_ex!S34:T35)/2-$T$41)*$S$56)/SUM(BS_bad_ex!S29:T31,BS_bad_ex!S34:T35)*2</f>
        <v>9.1467442947508609E-2</v>
      </c>
      <c r="U56" s="13">
        <f>($T$41*0.0875+(SUM(BS_bad_ex!T29:U31,BS_bad_ex!T34:U35)/2-$T$41)*$S$56)/SUM(BS_bad_ex!T29:U31,BS_bad_ex!T34:U35)*2</f>
        <v>8.9905222681859645E-2</v>
      </c>
      <c r="V56" s="13">
        <f>($T$41*0.0875+(SUM(BS_bad_ex!U29:V31,BS_bad_ex!U34:V35)/2-$T$41)*$S$56)/SUM(BS_bad_ex!U29:V31,BS_bad_ex!U34:V35)*2</f>
        <v>9.1911105522258049E-2</v>
      </c>
      <c r="W56" s="13">
        <f>($T$41*0.0875+(SUM(BS_bad_ex!V29:W31,BS_bad_ex!V34:W35)/2-$T$41)*$S$56)/SUM(BS_bad_ex!V29:W31,BS_bad_ex!V34:W35)*2</f>
        <v>9.3604961588324639E-2</v>
      </c>
      <c r="X56" s="13">
        <f>($T$41*0.0875+(SUM(BS_bad_ex!W29:X31,BS_bad_ex!W34:X35)/2-$T$41)*$S$56)/SUM(BS_bad_ex!W29:X31,BS_bad_ex!W34:X35)*2</f>
        <v>9.1911105522258049E-2</v>
      </c>
      <c r="Y56" s="13">
        <f>($T$41*0.0875+(SUM(BS_bad_ex!X29:Y31,BS_bad_ex!X34:Y35)/2-$T$41)*$S$56)/SUM(BS_bad_ex!X29:Y31,BS_bad_ex!X34:Y35)*2</f>
        <v>8.9905222681859645E-2</v>
      </c>
      <c r="Z56" s="13">
        <f>($T$41*0.0875+(SUM(BS_bad_ex!Y29:Z31,BS_bad_ex!Y34:Z35)/2-$T$41)*$S$56)/SUM(BS_bad_ex!Y29:Z31,BS_bad_ex!Y34:Z35)*2</f>
        <v>9.4356779893396373E-2</v>
      </c>
      <c r="AA56" s="13">
        <f>($T$41*0.0875+(SUM(BS_bad_ex!Z29:AA31,BS_bad_ex!Z34:AA35)/2-$T$41)*$S$56)/SUM(BS_bad_ex!Z29:AA31,BS_bad_ex!Z34:AA35)*2</f>
        <v>9.5703319891181984E-2</v>
      </c>
      <c r="AB56" s="13">
        <f>($T$41*0.0875+(SUM(BS_bad_ex!AA29:AB31,BS_bad_ex!AA34:AB35)/2-$T$41)*$S$56)/SUM(BS_bad_ex!AA29:AB31,BS_bad_ex!AA34:AB35)*2</f>
        <v>9.1911105522258049E-2</v>
      </c>
      <c r="AC56" s="13">
        <f>($T$41*0.0875+(SUM(BS_bad_ex!AB29:AC31,BS_bad_ex!AB34:AC35)/2-$T$41)*$S$56)/SUM(BS_bad_ex!AB29:AC31,BS_bad_ex!AB34:AC35)*2</f>
        <v>8.9905222681859645E-2</v>
      </c>
    </row>
    <row r="57" spans="1:36" x14ac:dyDescent="0.25">
      <c r="A57" t="s">
        <v>388</v>
      </c>
      <c r="G57" s="13">
        <f>G4/SUM(BS_bad_ex!F15:F18)*4</f>
        <v>8.8787309326696803E-2</v>
      </c>
      <c r="H57" s="13">
        <f>H4/SUM(BS_bad_ex!G15:G18)*4</f>
        <v>7.139797529960118E-2</v>
      </c>
      <c r="I57" s="13">
        <f>I4/SUM(BS_bad_ex!H15:H18)*4</f>
        <v>8.7011649100562638E-2</v>
      </c>
      <c r="J57" s="13">
        <f>J4/SUM(BS_bad_ex!I15:I18)*4</f>
        <v>8.2437213481855176E-2</v>
      </c>
      <c r="K57" s="13">
        <f>K4/SUM(BS_bad_ex!J15:J18)*4</f>
        <v>7.8117630251200429E-2</v>
      </c>
      <c r="L57" s="13">
        <f>L4/SUM(BS_bad_ex!K15:K18)*4</f>
        <v>7.0456379510024272E-2</v>
      </c>
      <c r="M57" s="13">
        <f>M4/SUM(BS_bad_ex!L15:L18)*4</f>
        <v>7.0346565847511033E-2</v>
      </c>
      <c r="N57" s="13">
        <f>N4/SUM(BS_bad_ex!M15:M18)*4</f>
        <v>8.1373621484687811E-2</v>
      </c>
      <c r="O57" s="13">
        <f>O4/SUM(BS_bad_ex!N15:N18)*4</f>
        <v>8.2050205206276386E-2</v>
      </c>
      <c r="P57" s="13">
        <f>P4/SUM(BS_bad_ex!O15:O18)*4</f>
        <v>8.1418543259967238E-2</v>
      </c>
      <c r="Q57" s="13">
        <f>Q4/SUM(BS_bad_ex!P15:P18)*4</f>
        <v>7.9063164419443208E-2</v>
      </c>
      <c r="R57" s="13">
        <f>R4/SUM(BS_bad_ex!Q15:Q18)*4</f>
        <v>7.3951938443642257E-2</v>
      </c>
      <c r="S57" s="13">
        <f>S4/SUM(BS_bad_ex!R15:R18)*4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 x14ac:dyDescent="0.25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18185.07029988127</v>
      </c>
      <c r="W58" s="362">
        <f t="shared" si="11"/>
        <v>80894.340262064346</v>
      </c>
      <c r="X58" s="362">
        <f t="shared" si="11"/>
        <v>-3094.189373653423</v>
      </c>
      <c r="Y58" s="362">
        <f t="shared" si="11"/>
        <v>2304.8222522553574</v>
      </c>
      <c r="Z58" s="362">
        <f t="shared" si="11"/>
        <v>-36542.110545627816</v>
      </c>
      <c r="AA58" s="362">
        <f t="shared" si="11"/>
        <v>-9794.0276320505982</v>
      </c>
      <c r="AB58" s="362">
        <f t="shared" si="11"/>
        <v>-33198.948225606611</v>
      </c>
      <c r="AC58" s="362">
        <f t="shared" si="11"/>
        <v>-36399.13545586446</v>
      </c>
    </row>
    <row r="59" spans="1:36" x14ac:dyDescent="0.25">
      <c r="Q59" s="316">
        <f>SUM(N58:Q58)</f>
        <v>228853</v>
      </c>
      <c r="U59" s="316">
        <f>SUM(R58:U58)</f>
        <v>182243.37444419478</v>
      </c>
      <c r="Y59" s="316">
        <f>SUM(V58:Y58)</f>
        <v>98290.043440547539</v>
      </c>
      <c r="AC59" s="316">
        <f>SUM(Z58:AC58)</f>
        <v>-115934.22185914949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7"/>
  <sheetViews>
    <sheetView workbookViewId="0">
      <pane xSplit="1" ySplit="1" topLeftCell="P2" activePane="bottomRight" state="frozen"/>
      <selection activeCell="AA29" sqref="AA29"/>
      <selection pane="topRight" activeCell="AA29" sqref="AA29"/>
      <selection pane="bottomLeft" activeCell="AA29" sqref="AA29"/>
      <selection pane="bottomRight" activeCell="Y13" sqref="Y13"/>
    </sheetView>
  </sheetViews>
  <sheetFormatPr defaultRowHeight="13.2" outlineLevelCol="1" x14ac:dyDescent="0.25"/>
  <cols>
    <col min="1" max="1" width="55.88671875" bestFit="1" customWidth="1"/>
    <col min="2" max="3" width="8.88671875" customWidth="1" outlineLevel="1"/>
    <col min="4" max="5" width="10.109375" customWidth="1" outlineLevel="1"/>
    <col min="6" max="19" width="10.109375" bestFit="1" customWidth="1"/>
    <col min="20" max="20" width="9.109375" bestFit="1" customWidth="1"/>
  </cols>
  <sheetData>
    <row r="1" spans="1:29" x14ac:dyDescent="0.25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 x14ac:dyDescent="0.25">
      <c r="A2" s="30" t="s">
        <v>284</v>
      </c>
    </row>
    <row r="3" spans="1:29" x14ac:dyDescent="0.25">
      <c r="A3" s="30" t="s">
        <v>285</v>
      </c>
    </row>
    <row r="4" spans="1:29" x14ac:dyDescent="0.25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>CF_bad_ex!T52</f>
        <v>518906.46742740186</v>
      </c>
      <c r="U4" s="357">
        <f>CF_bad_ex!U52</f>
        <v>616816.72591799998</v>
      </c>
      <c r="V4" s="357">
        <f>CF_bad_ex!V52</f>
        <v>84788.697288087918</v>
      </c>
      <c r="W4" s="357">
        <f>CF_bad_ex!W52</f>
        <v>101991.75613617635</v>
      </c>
      <c r="X4" s="357">
        <f>CF_bad_ex!X52</f>
        <v>144590.80921065336</v>
      </c>
      <c r="Y4" s="357">
        <f>CF_bad_ex!Y52</f>
        <v>238401.48927709577</v>
      </c>
      <c r="Z4" s="357">
        <f>CF_bad_ex!Z52</f>
        <v>88026.169846370234</v>
      </c>
      <c r="AA4" s="357">
        <f>CF_bad_ex!AA52</f>
        <v>-12942.249442126515</v>
      </c>
      <c r="AB4" s="357">
        <f>CF_bad_ex!AB52</f>
        <v>44824.628867446736</v>
      </c>
      <c r="AC4" s="357">
        <f>CF_bad_ex!AC52</f>
        <v>155662.48578196511</v>
      </c>
    </row>
    <row r="5" spans="1:29" x14ac:dyDescent="0.25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 x14ac:dyDescent="0.25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 x14ac:dyDescent="0.25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 x14ac:dyDescent="0.25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 x14ac:dyDescent="0.25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>'bio &amp; inventory'!Q16</f>
        <v>302390.01853526547</v>
      </c>
      <c r="U9" s="360">
        <f>'bio &amp; inventory'!R16</f>
        <v>172809.04907573503</v>
      </c>
      <c r="V9" s="360">
        <f>'bio &amp; inventory'!S16</f>
        <v>372437.46916211129</v>
      </c>
      <c r="W9" s="360">
        <f>'bio &amp; inventory'!T16</f>
        <v>398289.30431577185</v>
      </c>
      <c r="X9" s="360">
        <f>'bio &amp; inventory'!U16</f>
        <v>322438.16753176635</v>
      </c>
      <c r="Y9" s="360">
        <f>'bio &amp; inventory'!V16</f>
        <v>216316.11971660005</v>
      </c>
      <c r="Z9" s="360">
        <f>'bio &amp; inventory'!W16</f>
        <v>432483.78523069172</v>
      </c>
      <c r="AA9" s="360">
        <f>'bio &amp; inventory'!X16</f>
        <v>465053.46043826622</v>
      </c>
      <c r="AB9" s="360">
        <f>'bio &amp; inventory'!Y16</f>
        <v>353591.24818431615</v>
      </c>
      <c r="AC9" s="360">
        <f>'bio &amp; inventory'!Z16</f>
        <v>216316.11971660005</v>
      </c>
    </row>
    <row r="10" spans="1:29" x14ac:dyDescent="0.25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>'bio &amp; inventory'!Q14</f>
        <v>27848.039015678351</v>
      </c>
      <c r="U10" s="360">
        <f>'bio &amp; inventory'!R14</f>
        <v>29170.634398376475</v>
      </c>
      <c r="V10" s="360">
        <f>'bio &amp; inventory'!S14</f>
        <v>238187.94869763122</v>
      </c>
      <c r="W10" s="360">
        <f>'bio &amp; inventory'!T14</f>
        <v>108667.98597583915</v>
      </c>
      <c r="X10" s="360">
        <f>'bio &amp; inventory'!U14</f>
        <v>30370.511887681812</v>
      </c>
      <c r="Y10" s="360">
        <f>'bio &amp; inventory'!V14</f>
        <v>22301.179785516444</v>
      </c>
      <c r="Z10" s="360">
        <f>'bio &amp; inventory'!W14</f>
        <v>182096.56307457198</v>
      </c>
      <c r="AA10" s="360">
        <f>'bio &amp; inventory'!X14</f>
        <v>83077.531296749832</v>
      </c>
      <c r="AB10" s="360">
        <f>'bio &amp; inventory'!Y14</f>
        <v>23218.495577972491</v>
      </c>
      <c r="AC10" s="360">
        <f>'bio &amp; inventory'!Z14</f>
        <v>22301.179785516444</v>
      </c>
    </row>
    <row r="11" spans="1:29" x14ac:dyDescent="0.25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 x14ac:dyDescent="0.25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 x14ac:dyDescent="0.25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1043009.7216293119</v>
      </c>
      <c r="W13" s="320">
        <f t="shared" si="5"/>
        <v>962436.58732284908</v>
      </c>
      <c r="X13" s="320">
        <f t="shared" si="5"/>
        <v>846570.61967434024</v>
      </c>
      <c r="Y13" s="320">
        <f t="shared" si="5"/>
        <v>820903.94166415744</v>
      </c>
      <c r="Z13" s="320">
        <f t="shared" si="5"/>
        <v>1047285.5298507366</v>
      </c>
      <c r="AA13" s="320">
        <f t="shared" si="5"/>
        <v>897329.61705295369</v>
      </c>
      <c r="AB13" s="320">
        <f t="shared" si="5"/>
        <v>774377.59225721762</v>
      </c>
      <c r="AC13" s="320">
        <f t="shared" si="5"/>
        <v>728329.77376923081</v>
      </c>
    </row>
    <row r="14" spans="1:29" x14ac:dyDescent="0.25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 x14ac:dyDescent="0.25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>S15-CF_bad_ex!T31-CF_bad_ex!T4</f>
        <v>539048.97499999998</v>
      </c>
      <c r="U15" s="357">
        <f>T15-CF_bad_ex!U31-CF_bad_ex!U4</f>
        <v>556098.63171875</v>
      </c>
      <c r="V15" s="357">
        <f>U15-CF_bad_ex!V31-CF_bad_ex!V4</f>
        <v>572828.60737402341</v>
      </c>
      <c r="W15" s="357">
        <f>V15-CF_bad_ex!W31-CF_bad_ex!W4</f>
        <v>585307.39598576049</v>
      </c>
      <c r="X15" s="357">
        <f>W15-CF_bad_ex!X31-CF_bad_ex!X4</f>
        <v>594739.70731102745</v>
      </c>
      <c r="Y15" s="357">
        <f>X15-CF_bad_ex!Y31-CF_bad_ex!Y4</f>
        <v>603995.16279894568</v>
      </c>
      <c r="Z15" s="357">
        <f>Y15-CF_bad_ex!Z31-CF_bad_ex!Z4</f>
        <v>593077.07849646546</v>
      </c>
      <c r="AA15" s="357">
        <f>Z15-CF_bad_ex!AA31-CF_bad_ex!AA4</f>
        <v>582363.70827465667</v>
      </c>
      <c r="AB15" s="357">
        <f>AA15-CF_bad_ex!AB31-CF_bad_ex!AB4</f>
        <v>571851.21374450682</v>
      </c>
      <c r="AC15" s="357">
        <f>AB15-CF_bad_ex!AC31-CF_bad_ex!AC4</f>
        <v>561535.82848679728</v>
      </c>
    </row>
    <row r="16" spans="1:29" x14ac:dyDescent="0.25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 x14ac:dyDescent="0.25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>S17-CF_bad_ex!T35</f>
        <v>120124</v>
      </c>
      <c r="U17" s="357">
        <f>T17-CF_bad_ex!U35</f>
        <v>120124</v>
      </c>
      <c r="V17" s="357">
        <f>U17-CF_bad_ex!V35</f>
        <v>330124</v>
      </c>
      <c r="W17" s="357">
        <f>V17-CF_bad_ex!W35</f>
        <v>480124</v>
      </c>
      <c r="X17" s="357">
        <f>W17-CF_bad_ex!X35</f>
        <v>480124</v>
      </c>
      <c r="Y17" s="357">
        <f>X17-CF_bad_ex!Y35</f>
        <v>480124</v>
      </c>
      <c r="Z17" s="357">
        <f>Y17-CF_bad_ex!Z35</f>
        <v>480124</v>
      </c>
      <c r="AA17" s="357">
        <f>Z17-CF_bad_ex!AA35</f>
        <v>480124</v>
      </c>
      <c r="AB17" s="357">
        <f>AA17-CF_bad_ex!AB35</f>
        <v>480124</v>
      </c>
      <c r="AC17" s="357">
        <f>AB17-CF_bad_ex!AC35</f>
        <v>480124</v>
      </c>
    </row>
    <row r="18" spans="1:29" x14ac:dyDescent="0.25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 x14ac:dyDescent="0.25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 x14ac:dyDescent="0.25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 x14ac:dyDescent="0.25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 x14ac:dyDescent="0.25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8" thickBot="1" x14ac:dyDescent="0.3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1138867.0958314396</v>
      </c>
      <c r="X23" s="320">
        <f t="shared" si="9"/>
        <v>1148742.3571309862</v>
      </c>
      <c r="Y23" s="320">
        <f t="shared" si="9"/>
        <v>1157587.7542555644</v>
      </c>
      <c r="Z23" s="320">
        <f t="shared" si="9"/>
        <v>1146764.268529187</v>
      </c>
      <c r="AA23" s="320">
        <f t="shared" si="9"/>
        <v>1136019.2355350545</v>
      </c>
      <c r="AB23" s="320">
        <f t="shared" si="9"/>
        <v>1125373.3520297855</v>
      </c>
      <c r="AC23" s="320">
        <f t="shared" si="9"/>
        <v>1115205.7946035732</v>
      </c>
    </row>
    <row r="24" spans="1:29" ht="13.8" thickBot="1" x14ac:dyDescent="0.3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2018473.5002996316</v>
      </c>
      <c r="W24" s="323">
        <f t="shared" si="10"/>
        <v>2101303.6831542887</v>
      </c>
      <c r="X24" s="323">
        <f t="shared" si="10"/>
        <v>1995312.9768053265</v>
      </c>
      <c r="Y24" s="323">
        <f t="shared" si="10"/>
        <v>1978491.6959197219</v>
      </c>
      <c r="Z24" s="323">
        <f t="shared" si="10"/>
        <v>2194049.7983799237</v>
      </c>
      <c r="AA24" s="323">
        <f t="shared" si="10"/>
        <v>2033348.8525880082</v>
      </c>
      <c r="AB24" s="323">
        <f t="shared" si="10"/>
        <v>1899750.944287003</v>
      </c>
      <c r="AC24" s="324">
        <f t="shared" si="10"/>
        <v>1843535.568372804</v>
      </c>
    </row>
    <row r="25" spans="1:29" x14ac:dyDescent="0.25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 x14ac:dyDescent="0.25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 x14ac:dyDescent="0.25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 x14ac:dyDescent="0.25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 x14ac:dyDescent="0.25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100000</v>
      </c>
      <c r="W29" s="360">
        <v>100000</v>
      </c>
      <c r="X29" s="360">
        <v>0</v>
      </c>
      <c r="Y29" s="360">
        <f>X29</f>
        <v>0</v>
      </c>
      <c r="Z29" s="360">
        <v>250000</v>
      </c>
      <c r="AA29" s="360">
        <v>100000</v>
      </c>
      <c r="AB29" s="360">
        <v>0</v>
      </c>
      <c r="AC29" s="360">
        <v>0</v>
      </c>
    </row>
    <row r="30" spans="1:29" x14ac:dyDescent="0.25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 x14ac:dyDescent="0.25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 x14ac:dyDescent="0.25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240300.08333333334</v>
      </c>
      <c r="W32" s="320">
        <f t="shared" si="13"/>
        <v>239165.93055555556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389630.06102109054</v>
      </c>
      <c r="AA32" s="320">
        <f t="shared" si="13"/>
        <v>240331.07119127229</v>
      </c>
      <c r="AB32" s="320">
        <f t="shared" si="13"/>
        <v>140566.83305648435</v>
      </c>
      <c r="AC32" s="320">
        <f t="shared" si="13"/>
        <v>140611.29134367619</v>
      </c>
    </row>
    <row r="33" spans="1:29" x14ac:dyDescent="0.25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 x14ac:dyDescent="0.25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>S34+CF_bad_ex!T41</f>
        <v>539177</v>
      </c>
      <c r="U34" s="357">
        <f>T34+CF_bad_ex!U41</f>
        <v>539177</v>
      </c>
      <c r="V34" s="357">
        <f>U34+CF_bad_ex!V41</f>
        <v>539177</v>
      </c>
      <c r="W34" s="357">
        <f>V34+CF_bad_ex!W41</f>
        <v>539177</v>
      </c>
      <c r="X34" s="357">
        <f>W34+CF_bad_ex!X41</f>
        <v>539177</v>
      </c>
      <c r="Y34" s="357">
        <f>X34+CF_bad_ex!Y41</f>
        <v>539177</v>
      </c>
      <c r="Z34" s="357">
        <f>Y34+CF_bad_ex!Z41</f>
        <v>539177</v>
      </c>
      <c r="AA34" s="357">
        <f>Z34+CF_bad_ex!AA41</f>
        <v>539177</v>
      </c>
      <c r="AB34" s="357">
        <f>AA34+CF_bad_ex!AB41</f>
        <v>539177</v>
      </c>
      <c r="AC34" s="357">
        <f>AB34+CF_bad_ex!AC41</f>
        <v>539177</v>
      </c>
    </row>
    <row r="35" spans="1:29" x14ac:dyDescent="0.25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 x14ac:dyDescent="0.25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 x14ac:dyDescent="0.25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 x14ac:dyDescent="0.25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 x14ac:dyDescent="0.25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 x14ac:dyDescent="0.25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 x14ac:dyDescent="0.25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 x14ac:dyDescent="0.25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 x14ac:dyDescent="0.25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 x14ac:dyDescent="0.25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 x14ac:dyDescent="0.25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 x14ac:dyDescent="0.25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>S46+CF_bad_ex!T2+CF_bad_ex!T28+CF_bad_ex!T45</f>
        <v>1279046.4999783456</v>
      </c>
      <c r="U46" s="357">
        <f>T46+CF_bad_ex!U2+CF_bad_ex!U28+CF_bad_ex!U45</f>
        <v>1266214.3744441948</v>
      </c>
      <c r="V46" s="357">
        <f>U46+CF_bad_ex!V2+CF_bad_ex!V28+CF_bad_ex!V45</f>
        <v>1284399.4447440761</v>
      </c>
      <c r="W46" s="357">
        <f>V46+CF_bad_ex!W2+CF_bad_ex!W28+CF_bad_ex!W45</f>
        <v>1365293.7850061406</v>
      </c>
      <c r="X46" s="357">
        <f>W46+CF_bad_ex!X2+CF_bad_ex!X28+CF_bad_ex!X45</f>
        <v>1362199.5956324872</v>
      </c>
      <c r="Y46" s="357">
        <f>X46+CF_bad_ex!Y2+CF_bad_ex!Y28+CF_bad_ex!Y45</f>
        <v>1344583.4178847426</v>
      </c>
      <c r="Z46" s="357">
        <f>Y46+CF_bad_ex!Z2+CF_bad_ex!Z28+CF_bad_ex!Z45</f>
        <v>1308041.3073391148</v>
      </c>
      <c r="AA46" s="357">
        <f>Z46+CF_bad_ex!AA2+CF_bad_ex!AA28+CF_bad_ex!AA45</f>
        <v>1298247.2797070642</v>
      </c>
      <c r="AB46" s="357">
        <f>AA46+CF_bad_ex!AB2+CF_bad_ex!AB28+CF_bad_ex!AB45</f>
        <v>1265048.3314814575</v>
      </c>
      <c r="AC46" s="357">
        <f>AB46+CF_bad_ex!AC2+CF_bad_ex!AC28+CF_bad_ex!AC45</f>
        <v>1208728.196025593</v>
      </c>
    </row>
    <row r="47" spans="1:29" x14ac:dyDescent="0.25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>SUM(T40:T46)</f>
        <v>1099045.4999783456</v>
      </c>
      <c r="U47" s="320">
        <f t="shared" ref="U47:AC47" si="20">SUM(U40:U46)</f>
        <v>1086213.3744441948</v>
      </c>
      <c r="V47" s="320">
        <f t="shared" si="20"/>
        <v>1104398.4447440761</v>
      </c>
      <c r="W47" s="320">
        <f t="shared" si="20"/>
        <v>1185292.7850061406</v>
      </c>
      <c r="X47" s="320">
        <f t="shared" si="20"/>
        <v>1182198.5956324872</v>
      </c>
      <c r="Y47" s="320">
        <f t="shared" si="20"/>
        <v>1164582.4178847426</v>
      </c>
      <c r="Z47" s="320">
        <f t="shared" si="20"/>
        <v>1128040.3073391148</v>
      </c>
      <c r="AA47" s="320">
        <f t="shared" si="20"/>
        <v>1118246.2797070642</v>
      </c>
      <c r="AB47" s="320">
        <f t="shared" si="20"/>
        <v>1085047.3314814575</v>
      </c>
      <c r="AC47" s="320">
        <f t="shared" si="20"/>
        <v>1028727.196025593</v>
      </c>
    </row>
    <row r="48" spans="1:29" x14ac:dyDescent="0.25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8" thickBot="1" x14ac:dyDescent="0.3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>T47+T48+CF_bad_ex!T45</f>
        <v>1102251.4999783456</v>
      </c>
      <c r="U49" s="357">
        <f t="shared" ref="U49:AC49" si="22">U47+U48</f>
        <v>1089419.3744441948</v>
      </c>
      <c r="V49" s="357">
        <f t="shared" si="22"/>
        <v>1107604.4447440761</v>
      </c>
      <c r="W49" s="357">
        <f t="shared" si="22"/>
        <v>1188498.7850061406</v>
      </c>
      <c r="X49" s="357">
        <f t="shared" si="22"/>
        <v>1185404.5956324872</v>
      </c>
      <c r="Y49" s="357">
        <f t="shared" si="22"/>
        <v>1167788.4178847426</v>
      </c>
      <c r="Z49" s="357">
        <f t="shared" si="22"/>
        <v>1131246.3073391148</v>
      </c>
      <c r="AA49" s="357">
        <f t="shared" si="22"/>
        <v>1121452.2797070642</v>
      </c>
      <c r="AB49" s="357">
        <f t="shared" si="22"/>
        <v>1088253.3314814575</v>
      </c>
      <c r="AC49" s="357">
        <f t="shared" si="22"/>
        <v>1031933.196025593</v>
      </c>
    </row>
    <row r="50" spans="1:29" ht="13.8" thickBot="1" x14ac:dyDescent="0.3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1942560.8104848168</v>
      </c>
      <c r="W50" s="323">
        <f t="shared" si="23"/>
        <v>2022464.7117036714</v>
      </c>
      <c r="X50" s="323">
        <f t="shared" si="23"/>
        <v>1922266.5101129396</v>
      </c>
      <c r="Y50" s="323">
        <f t="shared" si="23"/>
        <v>1902514.3181119375</v>
      </c>
      <c r="Z50" s="323">
        <f t="shared" si="23"/>
        <v>2113051.6909375088</v>
      </c>
      <c r="AA50" s="323">
        <f t="shared" si="23"/>
        <v>1954959.8661274125</v>
      </c>
      <c r="AB50" s="323">
        <f t="shared" si="23"/>
        <v>1822557.1776755676</v>
      </c>
      <c r="AC50" s="323">
        <f t="shared" si="23"/>
        <v>1766128.2889619314</v>
      </c>
    </row>
    <row r="51" spans="1:29" x14ac:dyDescent="0.25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1104398.4447440761</v>
      </c>
      <c r="W51" s="357">
        <f t="shared" si="24"/>
        <v>1185292.7850061406</v>
      </c>
      <c r="X51" s="357">
        <f t="shared" si="24"/>
        <v>1182198.5956324872</v>
      </c>
      <c r="Y51" s="357">
        <f t="shared" si="24"/>
        <v>1164582.4178847426</v>
      </c>
      <c r="Z51" s="357">
        <f t="shared" si="24"/>
        <v>1128040.3073391148</v>
      </c>
      <c r="AA51" s="357">
        <f t="shared" si="24"/>
        <v>1118246.2797070642</v>
      </c>
      <c r="AB51" s="357">
        <f t="shared" si="24"/>
        <v>1085047.3314814575</v>
      </c>
      <c r="AC51" s="357">
        <f t="shared" si="24"/>
        <v>1028727.196025593</v>
      </c>
    </row>
    <row r="52" spans="1:29" x14ac:dyDescent="0.25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 x14ac:dyDescent="0.25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13.685026173009707</v>
      </c>
      <c r="W53" s="358">
        <f t="shared" si="25"/>
        <v>14.687419076588307</v>
      </c>
      <c r="X53" s="358">
        <f t="shared" si="25"/>
        <v>14.649077785214516</v>
      </c>
      <c r="Y53" s="358">
        <f t="shared" si="25"/>
        <v>14.430788946893902</v>
      </c>
      <c r="Z53" s="358">
        <f t="shared" si="25"/>
        <v>13.977981591347676</v>
      </c>
      <c r="AA53" s="358">
        <f t="shared" si="25"/>
        <v>13.85662002558157</v>
      </c>
      <c r="AB53" s="358">
        <f t="shared" si="25"/>
        <v>13.445239081008522</v>
      </c>
      <c r="AC53" s="358">
        <f t="shared" si="25"/>
        <v>12.747354606932173</v>
      </c>
    </row>
    <row r="54" spans="1:29" x14ac:dyDescent="0.25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 x14ac:dyDescent="0.25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13.46632914561784</v>
      </c>
      <c r="W55" s="358">
        <f t="shared" si="26"/>
        <v>14.452703055478789</v>
      </c>
      <c r="X55" s="358">
        <f t="shared" si="26"/>
        <v>14.414974486824253</v>
      </c>
      <c r="Y55" s="358">
        <f t="shared" si="26"/>
        <v>14.200174068580447</v>
      </c>
      <c r="Z55" s="358">
        <f t="shared" si="26"/>
        <v>13.754602915682808</v>
      </c>
      <c r="AA55" s="358">
        <f t="shared" si="26"/>
        <v>13.635180799161235</v>
      </c>
      <c r="AB55" s="358">
        <f t="shared" si="26"/>
        <v>13.230374031982253</v>
      </c>
      <c r="AC55" s="358">
        <f t="shared" si="26"/>
        <v>12.543642277529083</v>
      </c>
    </row>
    <row r="57" spans="1:29" x14ac:dyDescent="0.25"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78838.971450617304</v>
      </c>
      <c r="X57" s="317">
        <f t="shared" si="27"/>
        <v>73046.466692386894</v>
      </c>
      <c r="Y57" s="317">
        <f t="shared" si="27"/>
        <v>75977.37780778436</v>
      </c>
      <c r="Z57" s="317">
        <f t="shared" si="27"/>
        <v>80998.107442414854</v>
      </c>
      <c r="AA57" s="317">
        <f t="shared" si="27"/>
        <v>78388.986460595625</v>
      </c>
      <c r="AB57" s="317">
        <f t="shared" si="27"/>
        <v>77193.766611435451</v>
      </c>
      <c r="AC57" s="317">
        <f t="shared" si="27"/>
        <v>77407.279410872608</v>
      </c>
    </row>
  </sheetData>
  <conditionalFormatting sqref="T4:AC4">
    <cfRule type="expression" dxfId="0" priority="1" stopIfTrue="1">
      <formula>T$4&lt;AVERAGE($N$4:$S$4)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4"/>
  <sheetViews>
    <sheetView topLeftCell="A19" workbookViewId="0">
      <selection activeCell="J3" sqref="J3:J54"/>
    </sheetView>
  </sheetViews>
  <sheetFormatPr defaultRowHeight="13.2" outlineLevelCol="1" x14ac:dyDescent="0.25"/>
  <cols>
    <col min="1" max="1" width="80.88671875" bestFit="1" customWidth="1"/>
    <col min="7" max="7" width="8.88671875" customWidth="1" outlineLevel="1"/>
    <col min="8" max="8" width="9.109375" customWidth="1"/>
  </cols>
  <sheetData>
    <row r="1" spans="1:10" x14ac:dyDescent="0.25">
      <c r="A1" t="s">
        <v>284</v>
      </c>
    </row>
    <row r="2" spans="1:10" x14ac:dyDescent="0.25">
      <c r="A2" t="s">
        <v>285</v>
      </c>
    </row>
    <row r="3" spans="1:10" x14ac:dyDescent="0.25">
      <c r="A3" t="s">
        <v>334</v>
      </c>
      <c r="B3">
        <f t="shared" ref="B3:B44" si="0">FindBack(" ",$A3,4)</f>
        <v>5</v>
      </c>
      <c r="C3">
        <f t="shared" ref="C3:C44" si="1">FindBack(" ",$A3,3)</f>
        <v>11</v>
      </c>
      <c r="D3">
        <f>FindBack(" ",A3,2)</f>
        <v>17</v>
      </c>
      <c r="E3">
        <f>FindBack(" ",A3)</f>
        <v>23</v>
      </c>
      <c r="F3" t="str">
        <f>LEFT(A3,C3-1)</f>
        <v>Cash 98956</v>
      </c>
      <c r="G3">
        <f>IFERROR(VALUE(MID($A3,E3+1,255)),0)</f>
        <v>106521</v>
      </c>
      <c r="H3">
        <f>IFERROR(VALUE(MID($A3,D3+1,E3-D3-1)),0)</f>
        <v>78827</v>
      </c>
      <c r="I3">
        <f>IFERROR(VALUE(MID($A3,C3+1,D3-C3-1)),0)</f>
        <v>40140</v>
      </c>
      <c r="J3">
        <f>IFERROR(VALUE(MID($A3,B3+1,C3-B3-1)),0)</f>
        <v>98956</v>
      </c>
    </row>
    <row r="4" spans="1:10" x14ac:dyDescent="0.25">
      <c r="A4" t="s">
        <v>335</v>
      </c>
      <c r="B4">
        <f t="shared" si="0"/>
        <v>30</v>
      </c>
      <c r="C4">
        <f t="shared" si="1"/>
        <v>37</v>
      </c>
      <c r="D4">
        <f t="shared" ref="D4:D10" si="2">FindBack(" ",A4,2)</f>
        <v>44</v>
      </c>
      <c r="E4">
        <f t="shared" ref="E4:E10" si="3">FindBack(" ",A4)</f>
        <v>51</v>
      </c>
      <c r="F4" t="str">
        <f t="shared" ref="F4:F10" si="4">LEFT(A4,C4-1)</f>
        <v>Trade accounts receivable net 169750</v>
      </c>
      <c r="G4">
        <f t="shared" ref="G4:G10" si="5">IFERROR(VALUE(MID($A4,E4+1,255)),0)</f>
        <v>109905</v>
      </c>
      <c r="H4">
        <f t="shared" ref="H4:H10" si="6">IFERROR(VALUE(MID($A4,D4+1,E4-D4-1)),0)</f>
        <v>149600</v>
      </c>
      <c r="I4">
        <f t="shared" ref="I4:I10" si="7">IFERROR(VALUE(MID($A4,C4+1,D4-C4-1)),0)</f>
        <v>161820</v>
      </c>
      <c r="J4">
        <f t="shared" ref="J4:J10" si="8">IFERROR(VALUE(MID($A4,B4+1,C4-B4-1)),0)</f>
        <v>169750</v>
      </c>
    </row>
    <row r="5" spans="1:10" x14ac:dyDescent="0.25">
      <c r="A5" t="s">
        <v>336</v>
      </c>
      <c r="B5">
        <f t="shared" si="0"/>
        <v>57</v>
      </c>
      <c r="C5">
        <f t="shared" si="1"/>
        <v>63</v>
      </c>
      <c r="D5">
        <f t="shared" si="2"/>
        <v>70</v>
      </c>
      <c r="E5">
        <f t="shared" si="3"/>
        <v>77</v>
      </c>
      <c r="F5" t="str">
        <f t="shared" si="4"/>
        <v>Prepayments to suppliers and other current assets net 12 87019</v>
      </c>
      <c r="G5">
        <f t="shared" si="5"/>
        <v>95195</v>
      </c>
      <c r="H5">
        <f t="shared" si="6"/>
        <v>118353</v>
      </c>
      <c r="I5">
        <f t="shared" si="7"/>
        <v>119581</v>
      </c>
      <c r="J5">
        <f t="shared" si="8"/>
        <v>87019</v>
      </c>
    </row>
    <row r="6" spans="1:10" x14ac:dyDescent="0.25">
      <c r="A6" t="s">
        <v>337</v>
      </c>
      <c r="B6">
        <f t="shared" si="0"/>
        <v>32</v>
      </c>
      <c r="C6">
        <f t="shared" si="1"/>
        <v>38</v>
      </c>
      <c r="D6">
        <f t="shared" si="2"/>
        <v>44</v>
      </c>
      <c r="E6">
        <f t="shared" si="3"/>
        <v>50</v>
      </c>
      <c r="F6" t="str">
        <f t="shared" si="4"/>
        <v>Corporate income tax prepaid 10 10316</v>
      </c>
      <c r="G6">
        <f t="shared" si="5"/>
        <v>0</v>
      </c>
      <c r="H6">
        <f t="shared" si="6"/>
        <v>19323</v>
      </c>
      <c r="I6">
        <f t="shared" si="7"/>
        <v>19645</v>
      </c>
      <c r="J6">
        <f t="shared" si="8"/>
        <v>10316</v>
      </c>
    </row>
    <row r="7" spans="1:10" x14ac:dyDescent="0.25">
      <c r="A7" t="s">
        <v>338</v>
      </c>
      <c r="B7">
        <f t="shared" si="0"/>
        <v>34</v>
      </c>
      <c r="C7">
        <f t="shared" si="1"/>
        <v>41</v>
      </c>
      <c r="D7">
        <f t="shared" si="2"/>
        <v>48</v>
      </c>
      <c r="E7">
        <f t="shared" si="3"/>
        <v>55</v>
      </c>
      <c r="F7" t="str">
        <f t="shared" si="4"/>
        <v>Taxes recoverable and prepaid net 171049</v>
      </c>
      <c r="G7">
        <f t="shared" si="5"/>
        <v>250787</v>
      </c>
      <c r="H7">
        <f t="shared" si="6"/>
        <v>190695</v>
      </c>
      <c r="I7">
        <f t="shared" si="7"/>
        <v>232252</v>
      </c>
      <c r="J7">
        <f t="shared" si="8"/>
        <v>171049</v>
      </c>
    </row>
    <row r="8" spans="1:10" x14ac:dyDescent="0.25">
      <c r="A8" t="s">
        <v>339</v>
      </c>
      <c r="B8">
        <f t="shared" si="0"/>
        <v>10</v>
      </c>
      <c r="C8">
        <f t="shared" si="1"/>
        <v>17</v>
      </c>
      <c r="D8">
        <f t="shared" si="2"/>
        <v>24</v>
      </c>
      <c r="E8">
        <f t="shared" si="3"/>
        <v>31</v>
      </c>
      <c r="F8" t="str">
        <f t="shared" si="4"/>
        <v>Inventory 554505</v>
      </c>
      <c r="G8">
        <f t="shared" si="5"/>
        <v>802021</v>
      </c>
      <c r="H8">
        <f t="shared" si="6"/>
        <v>270248</v>
      </c>
      <c r="I8">
        <f t="shared" si="7"/>
        <v>742457</v>
      </c>
      <c r="J8">
        <f t="shared" si="8"/>
        <v>554505</v>
      </c>
    </row>
    <row r="9" spans="1:10" x14ac:dyDescent="0.25">
      <c r="A9" t="s">
        <v>340</v>
      </c>
      <c r="B9">
        <f t="shared" si="0"/>
        <v>18</v>
      </c>
      <c r="C9">
        <f t="shared" si="1"/>
        <v>24</v>
      </c>
      <c r="D9">
        <f t="shared" si="2"/>
        <v>30</v>
      </c>
      <c r="E9">
        <f t="shared" si="3"/>
        <v>37</v>
      </c>
      <c r="F9" t="str">
        <f t="shared" si="4"/>
        <v>Biological assets 67310</v>
      </c>
      <c r="G9">
        <f t="shared" si="5"/>
        <v>45790</v>
      </c>
      <c r="H9">
        <f t="shared" si="6"/>
        <v>247268</v>
      </c>
      <c r="I9">
        <f t="shared" si="7"/>
        <v>21206</v>
      </c>
      <c r="J9">
        <f t="shared" si="8"/>
        <v>67310</v>
      </c>
    </row>
    <row r="10" spans="1:10" x14ac:dyDescent="0.25">
      <c r="A10" t="s">
        <v>341</v>
      </c>
      <c r="B10">
        <f t="shared" si="0"/>
        <v>35</v>
      </c>
      <c r="C10">
        <f t="shared" si="1"/>
        <v>41</v>
      </c>
      <c r="D10">
        <f t="shared" si="2"/>
        <v>47</v>
      </c>
      <c r="E10">
        <f t="shared" si="3"/>
        <v>53</v>
      </c>
      <c r="F10" t="str">
        <f t="shared" si="4"/>
        <v>Assets classified as held for sale 13721</v>
      </c>
      <c r="G10">
        <f t="shared" si="5"/>
        <v>21068</v>
      </c>
      <c r="H10">
        <f t="shared" si="6"/>
        <v>23176</v>
      </c>
      <c r="I10">
        <f t="shared" si="7"/>
        <v>33213</v>
      </c>
      <c r="J10">
        <f t="shared" si="8"/>
        <v>13721</v>
      </c>
    </row>
    <row r="12" spans="1:10" x14ac:dyDescent="0.25">
      <c r="A12" t="s">
        <v>342</v>
      </c>
      <c r="B12">
        <f t="shared" si="0"/>
        <v>21</v>
      </c>
      <c r="C12">
        <f t="shared" si="1"/>
        <v>29</v>
      </c>
      <c r="D12">
        <f t="shared" ref="D12:D54" si="9">FindBack(" ",A12,2)</f>
        <v>37</v>
      </c>
      <c r="E12">
        <f t="shared" ref="E12:E54" si="10">FindBack(" ",A12)</f>
        <v>45</v>
      </c>
      <c r="F12" t="str">
        <f t="shared" ref="F12:F54" si="11">LEFT(A12,C12-1)</f>
        <v>Total current assets 1172626</v>
      </c>
      <c r="G12">
        <f t="shared" ref="G12:G54" si="12">IFERROR(VALUE(MID($A12,E12+1,255)),0)</f>
        <v>1431287</v>
      </c>
      <c r="H12">
        <f t="shared" ref="H12:H54" si="13">IFERROR(VALUE(MID($A12,D12+1,E12-D12-1)),0)</f>
        <v>1097490</v>
      </c>
      <c r="I12">
        <f t="shared" ref="I12:I54" si="14">IFERROR(VALUE(MID($A12,C12+1,D12-C12-1)),0)</f>
        <v>1370314</v>
      </c>
      <c r="J12">
        <f t="shared" ref="J12:J54" si="15">IFERROR(VALUE(MID($A12,B12+1,C12-B12-1)),0)</f>
        <v>1172626</v>
      </c>
    </row>
    <row r="13" spans="1:10" x14ac:dyDescent="0.25">
      <c r="A13" t="s">
        <v>286</v>
      </c>
    </row>
    <row r="14" spans="1:10" x14ac:dyDescent="0.25">
      <c r="A14" t="s">
        <v>343</v>
      </c>
      <c r="B14">
        <f t="shared" si="0"/>
        <v>35</v>
      </c>
      <c r="C14">
        <f t="shared" si="1"/>
        <v>42</v>
      </c>
      <c r="D14">
        <f t="shared" si="9"/>
        <v>49</v>
      </c>
      <c r="E14">
        <f t="shared" si="10"/>
        <v>56</v>
      </c>
      <c r="F14" t="str">
        <f t="shared" si="11"/>
        <v>Property plant and equipment net 6 664142</v>
      </c>
      <c r="G14">
        <f t="shared" si="12"/>
        <v>716237</v>
      </c>
      <c r="H14">
        <f t="shared" si="13"/>
        <v>767317</v>
      </c>
      <c r="I14">
        <f t="shared" si="14"/>
        <v>739881</v>
      </c>
      <c r="J14">
        <f t="shared" si="15"/>
        <v>664142</v>
      </c>
    </row>
    <row r="15" spans="1:10" x14ac:dyDescent="0.25">
      <c r="A15" t="s">
        <v>344</v>
      </c>
      <c r="B15">
        <f t="shared" si="0"/>
        <v>24</v>
      </c>
      <c r="C15">
        <f t="shared" si="1"/>
        <v>31</v>
      </c>
      <c r="D15">
        <f t="shared" si="9"/>
        <v>38</v>
      </c>
      <c r="E15">
        <f t="shared" si="10"/>
        <v>45</v>
      </c>
      <c r="F15" t="str">
        <f t="shared" si="11"/>
        <v>Intangible assets net 7 106582</v>
      </c>
      <c r="G15">
        <f t="shared" si="12"/>
        <v>113392</v>
      </c>
      <c r="H15">
        <f t="shared" si="13"/>
        <v>162287</v>
      </c>
      <c r="I15">
        <f t="shared" si="14"/>
        <v>147405</v>
      </c>
      <c r="J15">
        <f t="shared" si="15"/>
        <v>106582</v>
      </c>
    </row>
    <row r="16" spans="1:10" x14ac:dyDescent="0.25">
      <c r="A16" t="s">
        <v>345</v>
      </c>
      <c r="B16">
        <f t="shared" si="0"/>
        <v>11</v>
      </c>
      <c r="C16">
        <f t="shared" si="1"/>
        <v>18</v>
      </c>
      <c r="D16">
        <f t="shared" si="9"/>
        <v>25</v>
      </c>
      <c r="E16">
        <f t="shared" si="10"/>
        <v>32</v>
      </c>
      <c r="F16" t="str">
        <f t="shared" si="11"/>
        <v>Goodwill 7 140995</v>
      </c>
      <c r="G16">
        <f t="shared" si="12"/>
        <v>139455</v>
      </c>
      <c r="H16">
        <f t="shared" si="13"/>
        <v>157431</v>
      </c>
      <c r="I16">
        <f t="shared" si="14"/>
        <v>157431</v>
      </c>
      <c r="J16">
        <f t="shared" si="15"/>
        <v>140995</v>
      </c>
    </row>
    <row r="17" spans="1:10" x14ac:dyDescent="0.25">
      <c r="A17" t="s">
        <v>346</v>
      </c>
      <c r="B17">
        <f t="shared" si="0"/>
        <v>30</v>
      </c>
      <c r="C17">
        <f t="shared" si="1"/>
        <v>36</v>
      </c>
      <c r="D17">
        <f t="shared" si="9"/>
        <v>42</v>
      </c>
      <c r="E17">
        <f t="shared" si="10"/>
        <v>48</v>
      </c>
      <c r="F17" t="str">
        <f t="shared" si="11"/>
        <v>Investments in joint ventures 97801</v>
      </c>
      <c r="G17">
        <f t="shared" si="12"/>
        <v>97132</v>
      </c>
      <c r="H17">
        <f t="shared" si="13"/>
        <v>94026</v>
      </c>
      <c r="I17">
        <f t="shared" si="14"/>
        <v>98432</v>
      </c>
      <c r="J17">
        <f t="shared" si="15"/>
        <v>97801</v>
      </c>
    </row>
    <row r="18" spans="1:10" x14ac:dyDescent="0.25">
      <c r="A18" t="s">
        <v>347</v>
      </c>
      <c r="B18">
        <f t="shared" si="0"/>
        <v>23</v>
      </c>
      <c r="C18">
        <f t="shared" si="1"/>
        <v>29</v>
      </c>
      <c r="D18">
        <f t="shared" si="9"/>
        <v>35</v>
      </c>
      <c r="E18">
        <f t="shared" si="10"/>
        <v>41</v>
      </c>
      <c r="F18" t="str">
        <f t="shared" si="11"/>
        <v>Deferred tax assets 10 20381</v>
      </c>
      <c r="G18">
        <f t="shared" si="12"/>
        <v>20780</v>
      </c>
      <c r="H18">
        <f t="shared" si="13"/>
        <v>22850</v>
      </c>
      <c r="I18">
        <f t="shared" si="14"/>
        <v>13058</v>
      </c>
      <c r="J18">
        <f t="shared" si="15"/>
        <v>20381</v>
      </c>
    </row>
    <row r="21" spans="1:10" x14ac:dyDescent="0.25">
      <c r="A21" t="s">
        <v>348</v>
      </c>
      <c r="B21">
        <f t="shared" si="0"/>
        <v>31</v>
      </c>
      <c r="C21">
        <f t="shared" si="1"/>
        <v>37</v>
      </c>
      <c r="D21">
        <f t="shared" si="9"/>
        <v>43</v>
      </c>
      <c r="E21">
        <f t="shared" si="10"/>
        <v>49</v>
      </c>
      <c r="F21" t="str">
        <f t="shared" si="11"/>
        <v>Other non-current assets 10 12 62262</v>
      </c>
      <c r="G21">
        <f t="shared" si="12"/>
        <v>39503</v>
      </c>
      <c r="H21">
        <f t="shared" si="13"/>
        <v>65541</v>
      </c>
      <c r="I21">
        <f t="shared" si="14"/>
        <v>54668</v>
      </c>
      <c r="J21">
        <f t="shared" si="15"/>
        <v>62262</v>
      </c>
    </row>
    <row r="22" spans="1:10" x14ac:dyDescent="0.25">
      <c r="A22" t="s">
        <v>349</v>
      </c>
      <c r="B22">
        <f t="shared" si="0"/>
        <v>25</v>
      </c>
      <c r="C22">
        <f t="shared" si="1"/>
        <v>33</v>
      </c>
      <c r="D22">
        <f t="shared" si="9"/>
        <v>41</v>
      </c>
      <c r="E22">
        <f t="shared" si="10"/>
        <v>49</v>
      </c>
      <c r="F22" t="str">
        <f t="shared" si="11"/>
        <v>Total non-current assets 1092163</v>
      </c>
      <c r="G22">
        <f t="shared" si="12"/>
        <v>1126499</v>
      </c>
      <c r="H22">
        <f t="shared" si="13"/>
        <v>1269452</v>
      </c>
      <c r="I22">
        <f t="shared" si="14"/>
        <v>1210875</v>
      </c>
      <c r="J22">
        <f t="shared" si="15"/>
        <v>1092163</v>
      </c>
    </row>
    <row r="23" spans="1:10" x14ac:dyDescent="0.25">
      <c r="A23" t="s">
        <v>350</v>
      </c>
      <c r="B23">
        <f t="shared" si="0"/>
        <v>13</v>
      </c>
      <c r="C23">
        <f t="shared" si="1"/>
        <v>21</v>
      </c>
      <c r="D23">
        <f t="shared" si="9"/>
        <v>29</v>
      </c>
      <c r="E23">
        <f t="shared" si="10"/>
        <v>37</v>
      </c>
      <c r="F23" t="str">
        <f t="shared" si="11"/>
        <v>Total assets 2264789</v>
      </c>
      <c r="G23">
        <f t="shared" si="12"/>
        <v>2557786</v>
      </c>
      <c r="H23">
        <f t="shared" si="13"/>
        <v>2366942</v>
      </c>
      <c r="I23">
        <f t="shared" si="14"/>
        <v>2581189</v>
      </c>
      <c r="J23">
        <f t="shared" si="15"/>
        <v>2264789</v>
      </c>
    </row>
    <row r="24" spans="1:10" x14ac:dyDescent="0.25">
      <c r="A24" t="s">
        <v>287</v>
      </c>
    </row>
    <row r="25" spans="1:10" x14ac:dyDescent="0.25">
      <c r="A25" t="s">
        <v>288</v>
      </c>
    </row>
    <row r="26" spans="1:10" x14ac:dyDescent="0.25">
      <c r="A26" t="s">
        <v>351</v>
      </c>
      <c r="B26">
        <f t="shared" si="0"/>
        <v>26</v>
      </c>
      <c r="C26">
        <f t="shared" si="1"/>
        <v>32</v>
      </c>
      <c r="D26">
        <f t="shared" si="9"/>
        <v>38</v>
      </c>
      <c r="E26">
        <f t="shared" si="10"/>
        <v>44</v>
      </c>
      <c r="F26" t="str">
        <f t="shared" si="11"/>
        <v>Trade accounts payable 12 59587</v>
      </c>
      <c r="G26">
        <f t="shared" si="12"/>
        <v>49264</v>
      </c>
      <c r="H26">
        <f t="shared" si="13"/>
        <v>51751</v>
      </c>
      <c r="I26">
        <f t="shared" si="14"/>
        <v>59920</v>
      </c>
      <c r="J26">
        <f t="shared" si="15"/>
        <v>59587</v>
      </c>
    </row>
    <row r="27" spans="1:10" x14ac:dyDescent="0.25">
      <c r="A27" t="s">
        <v>352</v>
      </c>
      <c r="B27">
        <f t="shared" si="0"/>
        <v>57</v>
      </c>
      <c r="C27">
        <f t="shared" si="1"/>
        <v>63</v>
      </c>
      <c r="D27">
        <f t="shared" si="9"/>
        <v>70</v>
      </c>
      <c r="E27">
        <f t="shared" si="10"/>
        <v>77</v>
      </c>
      <c r="F27" t="str">
        <f t="shared" si="11"/>
        <v>Advances from customers and other current liabilities 12 93629</v>
      </c>
      <c r="G27">
        <f t="shared" si="12"/>
        <v>155789</v>
      </c>
      <c r="H27">
        <f t="shared" si="13"/>
        <v>202051</v>
      </c>
      <c r="I27">
        <f t="shared" si="14"/>
        <v>123190</v>
      </c>
      <c r="J27">
        <f t="shared" si="15"/>
        <v>93629</v>
      </c>
    </row>
    <row r="28" spans="1:10" x14ac:dyDescent="0.25">
      <c r="A28" t="s">
        <v>353</v>
      </c>
      <c r="B28">
        <f t="shared" si="0"/>
        <v>24</v>
      </c>
      <c r="C28">
        <f t="shared" si="1"/>
        <v>31</v>
      </c>
      <c r="D28">
        <f t="shared" si="9"/>
        <v>38</v>
      </c>
      <c r="E28">
        <f t="shared" si="10"/>
        <v>45</v>
      </c>
      <c r="F28" t="str">
        <f t="shared" si="11"/>
        <v>Short-term borrowings 8 586770</v>
      </c>
      <c r="G28">
        <f t="shared" si="12"/>
        <v>656676</v>
      </c>
      <c r="H28">
        <f t="shared" si="13"/>
        <v>398700</v>
      </c>
      <c r="I28">
        <f t="shared" si="14"/>
        <v>629637</v>
      </c>
      <c r="J28">
        <f t="shared" si="15"/>
        <v>586770</v>
      </c>
    </row>
    <row r="29" spans="1:10" x14ac:dyDescent="0.25">
      <c r="A29" t="s">
        <v>354</v>
      </c>
      <c r="B29">
        <f t="shared" si="0"/>
        <v>42</v>
      </c>
      <c r="C29">
        <f t="shared" si="1"/>
        <v>48</v>
      </c>
      <c r="D29">
        <f t="shared" si="9"/>
        <v>54</v>
      </c>
      <c r="E29">
        <f t="shared" si="10"/>
        <v>60</v>
      </c>
      <c r="F29" t="str">
        <f t="shared" si="11"/>
        <v>Current portion of long-term borrowings 9 92668</v>
      </c>
      <c r="G29">
        <f t="shared" si="12"/>
        <v>61014</v>
      </c>
      <c r="H29">
        <f t="shared" si="13"/>
        <v>50893</v>
      </c>
      <c r="I29">
        <f t="shared" si="14"/>
        <v>89583</v>
      </c>
      <c r="J29">
        <f t="shared" si="15"/>
        <v>92668</v>
      </c>
    </row>
    <row r="30" spans="1:10" x14ac:dyDescent="0.25">
      <c r="A30" t="s">
        <v>355</v>
      </c>
      <c r="B30">
        <f t="shared" si="0"/>
        <v>72</v>
      </c>
      <c r="C30">
        <f t="shared" si="1"/>
        <v>77</v>
      </c>
      <c r="D30">
        <f t="shared" si="9"/>
        <v>83</v>
      </c>
      <c r="E30">
        <f t="shared" si="10"/>
        <v>88</v>
      </c>
      <c r="F30" t="str">
        <f t="shared" si="11"/>
        <v>Liabilities directly associated with assets classified as held for sale 6035</v>
      </c>
      <c r="G30">
        <f t="shared" si="12"/>
        <v>0</v>
      </c>
      <c r="H30">
        <f t="shared" si="13"/>
        <v>1909</v>
      </c>
      <c r="I30">
        <f t="shared" si="14"/>
        <v>15454</v>
      </c>
      <c r="J30">
        <f t="shared" si="15"/>
        <v>6035</v>
      </c>
    </row>
    <row r="31" spans="1:10" x14ac:dyDescent="0.25">
      <c r="A31" t="s">
        <v>356</v>
      </c>
      <c r="B31">
        <f t="shared" si="0"/>
        <v>26</v>
      </c>
      <c r="C31">
        <f t="shared" si="1"/>
        <v>33</v>
      </c>
      <c r="D31">
        <f t="shared" si="9"/>
        <v>40</v>
      </c>
      <c r="E31">
        <f t="shared" si="10"/>
        <v>47</v>
      </c>
      <c r="F31" t="str">
        <f t="shared" si="11"/>
        <v>Total current liabilities 838689</v>
      </c>
      <c r="G31">
        <f t="shared" si="12"/>
        <v>922743</v>
      </c>
      <c r="H31">
        <f t="shared" si="13"/>
        <v>705304</v>
      </c>
      <c r="I31">
        <f t="shared" si="14"/>
        <v>917784</v>
      </c>
      <c r="J31">
        <f t="shared" si="15"/>
        <v>838689</v>
      </c>
    </row>
    <row r="32" spans="1:10" x14ac:dyDescent="0.25">
      <c r="A32" t="s">
        <v>289</v>
      </c>
    </row>
    <row r="33" spans="1:10" x14ac:dyDescent="0.25">
      <c r="A33" t="s">
        <v>357</v>
      </c>
      <c r="B33">
        <f t="shared" si="0"/>
        <v>23</v>
      </c>
      <c r="C33">
        <f t="shared" si="1"/>
        <v>30</v>
      </c>
      <c r="D33">
        <f t="shared" si="9"/>
        <v>37</v>
      </c>
      <c r="E33">
        <f t="shared" si="10"/>
        <v>44</v>
      </c>
      <c r="F33" t="str">
        <f t="shared" si="11"/>
        <v>Long-term borrowings 9 315780</v>
      </c>
      <c r="G33">
        <f t="shared" si="12"/>
        <v>312809</v>
      </c>
      <c r="H33">
        <f t="shared" si="13"/>
        <v>256630</v>
      </c>
      <c r="I33">
        <f t="shared" si="14"/>
        <v>316776</v>
      </c>
      <c r="J33">
        <f t="shared" si="15"/>
        <v>315780</v>
      </c>
    </row>
    <row r="34" spans="1:10" x14ac:dyDescent="0.25">
      <c r="A34" t="s">
        <v>358</v>
      </c>
      <c r="B34">
        <f t="shared" si="0"/>
        <v>32</v>
      </c>
      <c r="C34">
        <f t="shared" si="1"/>
        <v>38</v>
      </c>
      <c r="D34">
        <f t="shared" si="9"/>
        <v>44</v>
      </c>
      <c r="E34">
        <f t="shared" si="10"/>
        <v>50</v>
      </c>
      <c r="F34" t="str">
        <f t="shared" si="11"/>
        <v>Obligations under finance lease 13675</v>
      </c>
      <c r="G34">
        <f t="shared" si="12"/>
        <v>14028</v>
      </c>
      <c r="H34">
        <f t="shared" si="13"/>
        <v>19093</v>
      </c>
      <c r="I34">
        <f t="shared" si="14"/>
        <v>15090</v>
      </c>
      <c r="J34">
        <f t="shared" si="15"/>
        <v>13675</v>
      </c>
    </row>
    <row r="35" spans="1:10" x14ac:dyDescent="0.25">
      <c r="A35" t="s">
        <v>359</v>
      </c>
      <c r="B35">
        <f t="shared" si="0"/>
        <v>28</v>
      </c>
      <c r="C35">
        <f t="shared" si="1"/>
        <v>34</v>
      </c>
      <c r="D35">
        <f t="shared" si="9"/>
        <v>40</v>
      </c>
      <c r="E35">
        <f t="shared" si="10"/>
        <v>46</v>
      </c>
      <c r="F35" t="str">
        <f t="shared" si="11"/>
        <v>Deferred tax liabilities 10 16117</v>
      </c>
      <c r="G35">
        <f t="shared" si="12"/>
        <v>26397</v>
      </c>
      <c r="H35">
        <f t="shared" si="13"/>
        <v>27721</v>
      </c>
      <c r="I35">
        <f t="shared" si="14"/>
        <v>23215</v>
      </c>
      <c r="J35">
        <f t="shared" si="15"/>
        <v>16117</v>
      </c>
    </row>
    <row r="36" spans="1:10" x14ac:dyDescent="0.25">
      <c r="A36" t="s">
        <v>360</v>
      </c>
      <c r="B36">
        <f t="shared" si="0"/>
        <v>30</v>
      </c>
      <c r="C36">
        <f t="shared" si="1"/>
        <v>35</v>
      </c>
      <c r="D36">
        <f t="shared" si="9"/>
        <v>40</v>
      </c>
      <c r="E36">
        <f t="shared" si="10"/>
        <v>45</v>
      </c>
      <c r="F36" t="str">
        <f t="shared" si="11"/>
        <v>Other non-current liabilities 4970</v>
      </c>
      <c r="G36">
        <f t="shared" si="12"/>
        <v>4420</v>
      </c>
      <c r="H36">
        <f t="shared" si="13"/>
        <v>5839</v>
      </c>
      <c r="I36">
        <f t="shared" si="14"/>
        <v>4146</v>
      </c>
      <c r="J36">
        <f t="shared" si="15"/>
        <v>4970</v>
      </c>
    </row>
    <row r="37" spans="1:10" x14ac:dyDescent="0.25">
      <c r="A37" t="s">
        <v>361</v>
      </c>
      <c r="B37">
        <f t="shared" si="0"/>
        <v>30</v>
      </c>
      <c r="C37">
        <f t="shared" si="1"/>
        <v>37</v>
      </c>
      <c r="D37">
        <f t="shared" si="9"/>
        <v>44</v>
      </c>
      <c r="E37">
        <f t="shared" si="10"/>
        <v>51</v>
      </c>
      <c r="F37" t="str">
        <f t="shared" si="11"/>
        <v>Total non-current liabilities 350542</v>
      </c>
      <c r="G37">
        <f t="shared" si="12"/>
        <v>357654</v>
      </c>
      <c r="H37">
        <f t="shared" si="13"/>
        <v>309283</v>
      </c>
      <c r="I37">
        <f t="shared" si="14"/>
        <v>359227</v>
      </c>
      <c r="J37">
        <f t="shared" si="15"/>
        <v>350542</v>
      </c>
    </row>
    <row r="38" spans="1:10" x14ac:dyDescent="0.25">
      <c r="A38" t="s">
        <v>290</v>
      </c>
      <c r="B38">
        <f t="shared" si="0"/>
        <v>30</v>
      </c>
      <c r="C38">
        <f t="shared" si="1"/>
        <v>38</v>
      </c>
      <c r="D38">
        <f t="shared" si="9"/>
        <v>43</v>
      </c>
      <c r="E38">
        <f t="shared" si="10"/>
        <v>50</v>
      </c>
      <c r="F38" t="str">
        <f t="shared" si="11"/>
        <v>Equity attributable to Kernel Holding</v>
      </c>
      <c r="G38">
        <f t="shared" si="12"/>
        <v>0</v>
      </c>
      <c r="H38">
        <f t="shared" si="13"/>
        <v>0</v>
      </c>
      <c r="I38">
        <f t="shared" si="14"/>
        <v>0</v>
      </c>
      <c r="J38">
        <f t="shared" si="15"/>
        <v>0</v>
      </c>
    </row>
    <row r="39" spans="1:10" x14ac:dyDescent="0.25">
      <c r="A39" t="s">
        <v>362</v>
      </c>
      <c r="B39">
        <f t="shared" si="0"/>
        <v>15</v>
      </c>
      <c r="C39">
        <f t="shared" si="1"/>
        <v>20</v>
      </c>
      <c r="D39">
        <f t="shared" si="9"/>
        <v>25</v>
      </c>
      <c r="E39">
        <f t="shared" si="10"/>
        <v>30</v>
      </c>
      <c r="F39" t="str">
        <f t="shared" si="11"/>
        <v>Issued capital 2104</v>
      </c>
      <c r="G39">
        <f t="shared" si="12"/>
        <v>2104</v>
      </c>
      <c r="H39">
        <f t="shared" si="13"/>
        <v>2104</v>
      </c>
      <c r="I39">
        <f t="shared" si="14"/>
        <v>2104</v>
      </c>
      <c r="J39">
        <f t="shared" si="15"/>
        <v>2104</v>
      </c>
    </row>
    <row r="40" spans="1:10" x14ac:dyDescent="0.25">
      <c r="A40" t="s">
        <v>330</v>
      </c>
      <c r="B40">
        <f t="shared" si="0"/>
        <v>22</v>
      </c>
      <c r="C40">
        <f t="shared" si="1"/>
        <v>29</v>
      </c>
      <c r="D40">
        <f t="shared" si="9"/>
        <v>36</v>
      </c>
      <c r="E40">
        <f t="shared" si="10"/>
        <v>43</v>
      </c>
      <c r="F40" t="str">
        <f t="shared" si="11"/>
        <v>Share premium reserve 463879</v>
      </c>
      <c r="G40">
        <f t="shared" si="12"/>
        <v>463879</v>
      </c>
      <c r="H40">
        <f t="shared" si="13"/>
        <v>463879</v>
      </c>
      <c r="I40">
        <f t="shared" si="14"/>
        <v>463879</v>
      </c>
      <c r="J40">
        <f t="shared" si="15"/>
        <v>463879</v>
      </c>
    </row>
    <row r="41" spans="1:10" x14ac:dyDescent="0.25">
      <c r="A41" t="s">
        <v>331</v>
      </c>
      <c r="B41">
        <f t="shared" si="0"/>
        <v>27</v>
      </c>
      <c r="C41">
        <f t="shared" si="1"/>
        <v>33</v>
      </c>
      <c r="D41">
        <f t="shared" si="9"/>
        <v>39</v>
      </c>
      <c r="E41">
        <f t="shared" si="10"/>
        <v>45</v>
      </c>
      <c r="F41" t="str">
        <f t="shared" si="11"/>
        <v>Additional paid-in capital 39944</v>
      </c>
      <c r="G41">
        <f t="shared" si="12"/>
        <v>39944</v>
      </c>
      <c r="H41">
        <f t="shared" si="13"/>
        <v>39944</v>
      </c>
      <c r="I41">
        <f t="shared" si="14"/>
        <v>39944</v>
      </c>
      <c r="J41">
        <f t="shared" si="15"/>
        <v>39944</v>
      </c>
    </row>
    <row r="42" spans="1:10" x14ac:dyDescent="0.25">
      <c r="A42" t="s">
        <v>363</v>
      </c>
      <c r="B42">
        <f t="shared" si="0"/>
        <v>41</v>
      </c>
      <c r="C42">
        <f t="shared" si="1"/>
        <v>46</v>
      </c>
      <c r="D42">
        <f t="shared" si="9"/>
        <v>51</v>
      </c>
      <c r="E42">
        <f t="shared" si="10"/>
        <v>56</v>
      </c>
      <c r="F42" t="str">
        <f t="shared" si="11"/>
        <v>Equity-settled employee benefits reserve 3028</v>
      </c>
      <c r="G42">
        <f t="shared" si="12"/>
        <v>1211</v>
      </c>
      <c r="H42">
        <f t="shared" si="13"/>
        <v>3028</v>
      </c>
      <c r="I42">
        <f t="shared" si="14"/>
        <v>3028</v>
      </c>
      <c r="J42">
        <f t="shared" si="15"/>
        <v>3028</v>
      </c>
    </row>
    <row r="43" spans="1:10" x14ac:dyDescent="0.25">
      <c r="A43" t="s">
        <v>364</v>
      </c>
      <c r="B43">
        <f t="shared" si="0"/>
        <v>20</v>
      </c>
      <c r="C43">
        <f t="shared" si="1"/>
        <v>26</v>
      </c>
      <c r="D43">
        <f t="shared" si="9"/>
        <v>32</v>
      </c>
      <c r="E43">
        <f t="shared" si="10"/>
        <v>38</v>
      </c>
      <c r="F43" t="str">
        <f t="shared" si="11"/>
        <v>Revaluation reserve 39456</v>
      </c>
      <c r="G43">
        <f t="shared" si="12"/>
        <v>15049</v>
      </c>
      <c r="H43">
        <f t="shared" si="13"/>
        <v>40053</v>
      </c>
      <c r="I43">
        <f t="shared" si="14"/>
        <v>40053</v>
      </c>
      <c r="J43">
        <f t="shared" si="15"/>
        <v>39456</v>
      </c>
    </row>
    <row r="44" spans="1:10" x14ac:dyDescent="0.25">
      <c r="A44" t="s">
        <v>365</v>
      </c>
      <c r="B44">
        <f t="shared" si="0"/>
        <v>20</v>
      </c>
      <c r="C44">
        <f t="shared" si="1"/>
        <v>29</v>
      </c>
      <c r="D44">
        <f t="shared" si="9"/>
        <v>38</v>
      </c>
      <c r="E44">
        <f t="shared" si="10"/>
        <v>47</v>
      </c>
      <c r="F44" t="str">
        <f t="shared" si="11"/>
        <v>Translation reserve (348260)</v>
      </c>
      <c r="G44">
        <f t="shared" si="12"/>
        <v>-162173</v>
      </c>
      <c r="H44">
        <f t="shared" si="13"/>
        <v>-160941</v>
      </c>
      <c r="I44">
        <f t="shared" si="14"/>
        <v>-161000</v>
      </c>
      <c r="J44">
        <f t="shared" si="15"/>
        <v>-348260</v>
      </c>
    </row>
    <row r="45" spans="1:10" x14ac:dyDescent="0.25">
      <c r="A45" t="s">
        <v>366</v>
      </c>
      <c r="B45">
        <f t="shared" ref="B45:B54" si="16">FindBack(" ",$A45,4)</f>
        <v>18</v>
      </c>
      <c r="C45">
        <f t="shared" ref="C45:C54" si="17">FindBack(" ",$A45,3)</f>
        <v>25</v>
      </c>
      <c r="D45">
        <f t="shared" si="9"/>
        <v>32</v>
      </c>
      <c r="E45">
        <f t="shared" si="10"/>
        <v>39</v>
      </c>
      <c r="F45" t="str">
        <f t="shared" si="11"/>
        <v>Retained earnings 878718</v>
      </c>
      <c r="G45">
        <f t="shared" si="12"/>
        <v>901805</v>
      </c>
      <c r="H45">
        <f t="shared" si="13"/>
        <v>946772</v>
      </c>
      <c r="I45">
        <f t="shared" si="14"/>
        <v>903853</v>
      </c>
      <c r="J45">
        <f t="shared" si="15"/>
        <v>878718</v>
      </c>
    </row>
    <row r="46" spans="1:10" x14ac:dyDescent="0.25">
      <c r="A46" t="s">
        <v>373</v>
      </c>
      <c r="B46">
        <f t="shared" si="16"/>
        <v>64</v>
      </c>
      <c r="C46">
        <f t="shared" si="17"/>
        <v>72</v>
      </c>
      <c r="D46">
        <f t="shared" si="9"/>
        <v>80</v>
      </c>
      <c r="E46">
        <f t="shared" si="10"/>
        <v>88</v>
      </c>
      <c r="F46" t="str">
        <f t="shared" si="11"/>
        <v>Total equity attributable to Kernel Holding S,A, equity holders 1078869</v>
      </c>
      <c r="G46">
        <f t="shared" si="12"/>
        <v>1261819</v>
      </c>
      <c r="H46">
        <f t="shared" si="13"/>
        <v>1334839</v>
      </c>
      <c r="I46">
        <f t="shared" si="14"/>
        <v>1291861</v>
      </c>
      <c r="J46">
        <f t="shared" si="15"/>
        <v>1078869</v>
      </c>
    </row>
    <row r="47" spans="1:10" x14ac:dyDescent="0.25">
      <c r="A47" t="s">
        <v>367</v>
      </c>
      <c r="B47">
        <f t="shared" si="16"/>
        <v>25</v>
      </c>
      <c r="C47">
        <f t="shared" si="17"/>
        <v>32</v>
      </c>
      <c r="D47">
        <f t="shared" si="9"/>
        <v>38</v>
      </c>
      <c r="E47">
        <f t="shared" si="10"/>
        <v>44</v>
      </c>
      <c r="F47" t="str">
        <f t="shared" si="11"/>
        <v>Non-controlling interest (3311)</v>
      </c>
      <c r="G47">
        <f t="shared" si="12"/>
        <v>15570</v>
      </c>
      <c r="H47">
        <f t="shared" si="13"/>
        <v>17516</v>
      </c>
      <c r="I47">
        <f t="shared" si="14"/>
        <v>12317</v>
      </c>
      <c r="J47">
        <f t="shared" si="15"/>
        <v>-3311</v>
      </c>
    </row>
    <row r="48" spans="1:10" x14ac:dyDescent="0.25">
      <c r="A48" t="s">
        <v>368</v>
      </c>
      <c r="B48">
        <f t="shared" si="16"/>
        <v>13</v>
      </c>
      <c r="C48">
        <f t="shared" si="17"/>
        <v>21</v>
      </c>
      <c r="D48">
        <f t="shared" si="9"/>
        <v>29</v>
      </c>
      <c r="E48">
        <f t="shared" si="10"/>
        <v>37</v>
      </c>
      <c r="F48" t="str">
        <f t="shared" si="11"/>
        <v>Total equity 1075558</v>
      </c>
      <c r="G48">
        <f t="shared" si="12"/>
        <v>1277389</v>
      </c>
      <c r="H48">
        <f t="shared" si="13"/>
        <v>1352355</v>
      </c>
      <c r="I48">
        <f t="shared" si="14"/>
        <v>1304178</v>
      </c>
      <c r="J48">
        <f t="shared" si="15"/>
        <v>1075558</v>
      </c>
    </row>
    <row r="49" spans="1:10" x14ac:dyDescent="0.25">
      <c r="A49" t="s">
        <v>369</v>
      </c>
      <c r="B49">
        <f t="shared" si="16"/>
        <v>29</v>
      </c>
      <c r="C49">
        <f t="shared" si="17"/>
        <v>37</v>
      </c>
      <c r="D49">
        <f t="shared" si="9"/>
        <v>45</v>
      </c>
      <c r="E49">
        <f t="shared" si="10"/>
        <v>53</v>
      </c>
      <c r="F49" t="str">
        <f t="shared" si="11"/>
        <v>Total liabilities and equity 2264789</v>
      </c>
      <c r="G49">
        <f t="shared" si="12"/>
        <v>2557786</v>
      </c>
      <c r="H49">
        <f t="shared" si="13"/>
        <v>2366942</v>
      </c>
      <c r="I49">
        <f t="shared" si="14"/>
        <v>2581189</v>
      </c>
      <c r="J49">
        <f t="shared" si="15"/>
        <v>2264789</v>
      </c>
    </row>
    <row r="50" spans="1:10" x14ac:dyDescent="0.25">
      <c r="A50" t="s">
        <v>370</v>
      </c>
      <c r="B50">
        <f t="shared" si="16"/>
        <v>11</v>
      </c>
      <c r="C50">
        <f t="shared" si="17"/>
        <v>19</v>
      </c>
      <c r="D50">
        <f t="shared" si="9"/>
        <v>27</v>
      </c>
      <c r="E50">
        <f t="shared" si="10"/>
        <v>35</v>
      </c>
      <c r="F50" t="str">
        <f t="shared" si="11"/>
        <v>Book value 1078869</v>
      </c>
      <c r="G50">
        <f t="shared" si="12"/>
        <v>1261819</v>
      </c>
      <c r="H50">
        <f t="shared" si="13"/>
        <v>1334839</v>
      </c>
      <c r="I50">
        <f t="shared" si="14"/>
        <v>1291861</v>
      </c>
      <c r="J50">
        <f t="shared" si="15"/>
        <v>1078869</v>
      </c>
    </row>
    <row r="51" spans="1:10" x14ac:dyDescent="0.25">
      <c r="A51" t="s">
        <v>371</v>
      </c>
      <c r="B51">
        <f t="shared" si="16"/>
        <v>17</v>
      </c>
      <c r="C51">
        <f t="shared" si="17"/>
        <v>26</v>
      </c>
      <c r="D51">
        <f t="shared" si="9"/>
        <v>35</v>
      </c>
      <c r="E51">
        <f t="shared" si="10"/>
        <v>44</v>
      </c>
      <c r="F51" t="str">
        <f t="shared" si="11"/>
        <v>Number of shares 79683410</v>
      </c>
      <c r="G51">
        <f t="shared" si="12"/>
        <v>79683410</v>
      </c>
      <c r="H51">
        <f t="shared" si="13"/>
        <v>79683410</v>
      </c>
      <c r="I51">
        <f t="shared" si="14"/>
        <v>79683410</v>
      </c>
      <c r="J51">
        <f t="shared" si="15"/>
        <v>79683410</v>
      </c>
    </row>
    <row r="52" spans="1:10" x14ac:dyDescent="0.25">
      <c r="A52" t="s">
        <v>374</v>
      </c>
      <c r="B52">
        <f t="shared" si="16"/>
        <v>30</v>
      </c>
      <c r="C52">
        <f t="shared" si="17"/>
        <v>36</v>
      </c>
      <c r="D52">
        <f t="shared" si="9"/>
        <v>42</v>
      </c>
      <c r="E52">
        <f t="shared" si="10"/>
        <v>48</v>
      </c>
      <c r="F52" t="str">
        <f t="shared" si="11"/>
        <v>Book value per share (in USD) 13,54</v>
      </c>
      <c r="G52">
        <f t="shared" si="12"/>
        <v>15.84</v>
      </c>
      <c r="H52">
        <f t="shared" si="13"/>
        <v>16.75</v>
      </c>
      <c r="I52">
        <f t="shared" si="14"/>
        <v>16.21</v>
      </c>
      <c r="J52">
        <f t="shared" si="15"/>
        <v>13.54</v>
      </c>
    </row>
    <row r="53" spans="1:10" x14ac:dyDescent="0.25">
      <c r="A53" t="s">
        <v>372</v>
      </c>
      <c r="B53">
        <f t="shared" si="16"/>
        <v>25</v>
      </c>
      <c r="C53">
        <f t="shared" si="17"/>
        <v>34</v>
      </c>
      <c r="D53">
        <f t="shared" si="9"/>
        <v>43</v>
      </c>
      <c r="E53">
        <f t="shared" si="10"/>
        <v>52</v>
      </c>
      <c r="F53" t="str">
        <f t="shared" si="11"/>
        <v>Diluted number of shares 79782404</v>
      </c>
      <c r="G53">
        <f t="shared" si="12"/>
        <v>80037406</v>
      </c>
      <c r="H53">
        <f t="shared" si="13"/>
        <v>80035037</v>
      </c>
      <c r="I53">
        <f t="shared" si="14"/>
        <v>79932998</v>
      </c>
      <c r="J53">
        <f t="shared" si="15"/>
        <v>79782404</v>
      </c>
    </row>
    <row r="54" spans="1:10" x14ac:dyDescent="0.25">
      <c r="A54" t="s">
        <v>375</v>
      </c>
      <c r="B54">
        <f t="shared" si="16"/>
        <v>38</v>
      </c>
      <c r="C54">
        <f t="shared" si="17"/>
        <v>44</v>
      </c>
      <c r="D54">
        <f t="shared" si="9"/>
        <v>50</v>
      </c>
      <c r="E54">
        <f t="shared" si="10"/>
        <v>56</v>
      </c>
      <c r="F54" t="str">
        <f t="shared" si="11"/>
        <v>Diluted book value per share (in USD) 13,52</v>
      </c>
      <c r="G54">
        <f t="shared" si="12"/>
        <v>15.77</v>
      </c>
      <c r="H54">
        <f t="shared" si="13"/>
        <v>16.68</v>
      </c>
      <c r="I54">
        <f t="shared" si="14"/>
        <v>16.16</v>
      </c>
      <c r="J54">
        <f t="shared" si="15"/>
        <v>13.52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Balance sheet</vt:lpstr>
      <vt:lpstr>P&amp;L</vt:lpstr>
      <vt:lpstr>Farming</vt:lpstr>
      <vt:lpstr>UA farming</vt:lpstr>
      <vt:lpstr>key</vt:lpstr>
      <vt:lpstr>cor</vt:lpstr>
      <vt:lpstr>EBITDA (baseline)</vt:lpstr>
      <vt:lpstr>EBITDA_good</vt:lpstr>
      <vt:lpstr>CF_good</vt:lpstr>
      <vt:lpstr>BS_good</vt:lpstr>
      <vt:lpstr>EBITDA_good_ex</vt:lpstr>
      <vt:lpstr>CF_good_ex</vt:lpstr>
      <vt:lpstr>BS_good_ex</vt:lpstr>
      <vt:lpstr>bio &amp; inventory</vt:lpstr>
      <vt:lpstr>forecast</vt:lpstr>
      <vt:lpstr>EBITDA_bad</vt:lpstr>
      <vt:lpstr>CF_bad</vt:lpstr>
      <vt:lpstr>BS_bad</vt:lpstr>
      <vt:lpstr>EBITDA_bad_ex</vt:lpstr>
      <vt:lpstr>CF_bad_ex</vt:lpstr>
      <vt:lpstr>BS_bad_ex</vt:lpstr>
      <vt:lpstr>macro</vt:lpstr>
      <vt:lpstr>'UA farming'!_Hlk288821911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sanyok</dc:creator>
  <cp:lastModifiedBy>Kuzya</cp:lastModifiedBy>
  <dcterms:created xsi:type="dcterms:W3CDTF">2017-03-17T14:26:21Z</dcterms:created>
  <dcterms:modified xsi:type="dcterms:W3CDTF">2017-06-05T20:17:44Z</dcterms:modified>
</cp:coreProperties>
</file>